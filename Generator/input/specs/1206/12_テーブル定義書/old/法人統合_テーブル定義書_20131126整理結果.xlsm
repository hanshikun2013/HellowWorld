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1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試算" sheetId="70" r:id="rId6"/>
    <sheet name="法人役員退職慰労金" sheetId="71" r:id="rId7"/>
    <sheet name="法人キャッシュフロー改善" sheetId="73" r:id="rId8"/>
    <sheet name="新テンプレート" sheetId="63" state="hidden" r:id="rId9"/>
    <sheet name="変更履歴" sheetId="72" r:id="rId10"/>
    <sheet name="単語" sheetId="65" r:id="rId11"/>
    <sheet name="単語辞書" sheetId="66" r:id="rId12"/>
    <sheet name="ドメイン" sheetId="67" r:id="rId13"/>
    <sheet name="テーブルスペース" sheetId="68" r:id="rId14"/>
    <sheet name="テンプレート" sheetId="50" state="hidden" r:id="rId15"/>
    <sheet name="モデル用テンプレート" sheetId="52" state="hidden" r:id="rId16"/>
    <sheet name="移行用テンプレート" sheetId="46" state="hidden" r:id="rId17"/>
  </sheets>
  <definedNames>
    <definedName name="_xlnm._FilterDatabase" localSheetId="0" hidden="1">テーブル定義書!$A$4:$H$13</definedName>
    <definedName name="_xlnm._FilterDatabase" localSheetId="12" hidden="1">ドメイン!$A$1:$G$201</definedName>
    <definedName name="_xlnm._FilterDatabase" localSheetId="10" hidden="1">単語!$A$1:$AB$2806</definedName>
    <definedName name="_xlnm._FilterDatabase" localSheetId="11" hidden="1">単語辞書!$A$1:$F$1266</definedName>
    <definedName name="_xlnm.Print_Area" localSheetId="0">テーブル定義書!$A$1:$G$29</definedName>
    <definedName name="_xlnm.Print_Area" localSheetId="14">テンプレート!$A$1:$AB$22</definedName>
    <definedName name="_xlnm.Print_Area" localSheetId="15">モデル用テンプレート!$A$1:$AB$22</definedName>
    <definedName name="_xlnm.Print_Area" localSheetId="16">移行用テンプレート!$A$1:$AB$22</definedName>
    <definedName name="_xlnm.Print_Area" localSheetId="8">新テンプレート!$A$1:$AB$28</definedName>
    <definedName name="_xlnm.Print_Area" localSheetId="7">法人キャッシュフロー改善!$A$1:$AB$29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法人基本情報!$A$1:$AB$23</definedName>
    <definedName name="_xlnm.Print_Area" localSheetId="4">法人経営者リスク分析!$A$1:$AB$21</definedName>
    <definedName name="_xlnm.Print_Area" localSheetId="5">法人経営立て直し資金試算!$A$1:$AB$12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4">テンプレート!$1:$4</definedName>
    <definedName name="_xlnm.Print_Titles" localSheetId="15">モデル用テンプレート!$1:$4</definedName>
    <definedName name="_xlnm.Print_Titles" localSheetId="16">移行用テンプレート!$1:$4</definedName>
    <definedName name="_xlnm.Print_Titles" localSheetId="8">新テンプレート!$1:$4</definedName>
    <definedName name="_xlnm.Print_Titles" localSheetId="7">法人キャッシュフロー改善!$1:$4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法人経営立て直し資金試算!$1:$4</definedName>
    <definedName name="_xlnm.Print_Titles" localSheetId="6">法人役員退職慰労金!$1:$4</definedName>
    <definedName name="Z_0BFEE4E8_494D_4ACF_9765_EFBF82D707CA_.wvu.FilterData" localSheetId="10" hidden="1">単語!$A$1:$Y$2806</definedName>
    <definedName name="Z_0BFEE4E8_494D_4ACF_9765_EFBF82D707CA_.wvu.FilterData" localSheetId="11" hidden="1">単語辞書!$A$1:$D$93</definedName>
    <definedName name="Z_0BFEE4E8_494D_4ACF_9765_EFBF82D707CA_.wvu.Rows" localSheetId="11" hidden="1">単語辞書!$163:$206</definedName>
    <definedName name="Z_858081E7_C9BC_4026_B144_36E326E6C580_.wvu.FilterData" localSheetId="10" hidden="1">単語!$A$1:$Y$2806</definedName>
    <definedName name="Z_858081E7_C9BC_4026_B144_36E326E6C580_.wvu.FilterData" localSheetId="11" hidden="1">単語辞書!$A$1:$D$93</definedName>
    <definedName name="Z_858081E7_C9BC_4026_B144_36E326E6C580_.wvu.Rows" localSheetId="11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A19" i="43" l="1"/>
  <c r="G19" i="43"/>
  <c r="K19" i="43"/>
  <c r="M19" i="43"/>
  <c r="N19" i="43"/>
  <c r="A20" i="43"/>
  <c r="G20" i="43"/>
  <c r="K20" i="43"/>
  <c r="M20" i="43"/>
  <c r="N20" i="43"/>
  <c r="M25" i="69"/>
  <c r="K25" i="69"/>
  <c r="G25" i="69"/>
  <c r="M24" i="69"/>
  <c r="K24" i="69"/>
  <c r="G24" i="69"/>
  <c r="M23" i="69"/>
  <c r="K23" i="69"/>
  <c r="G23" i="69"/>
  <c r="M22" i="69"/>
  <c r="K22" i="69"/>
  <c r="G22" i="69"/>
  <c r="N25" i="69"/>
  <c r="A25" i="69"/>
  <c r="N24" i="69"/>
  <c r="A24" i="69"/>
  <c r="N23" i="69"/>
  <c r="A23" i="69"/>
  <c r="A26" i="69"/>
  <c r="G26" i="69"/>
  <c r="K26" i="69"/>
  <c r="M26" i="69"/>
  <c r="N26" i="69"/>
  <c r="N22" i="69"/>
  <c r="A22" i="69"/>
  <c r="A27" i="69"/>
  <c r="G27" i="69"/>
  <c r="N27" i="69"/>
  <c r="M7" i="69" l="1"/>
  <c r="K7" i="69"/>
  <c r="M22" i="43"/>
  <c r="K22" i="43"/>
  <c r="D2738" i="65" l="1"/>
  <c r="E2738" i="65"/>
  <c r="D2739" i="65"/>
  <c r="E2739" i="65"/>
  <c r="D2740" i="65"/>
  <c r="E2740" i="65"/>
  <c r="D2741" i="65"/>
  <c r="E2741" i="65"/>
  <c r="A38" i="73"/>
  <c r="A37" i="73"/>
  <c r="A36" i="73"/>
  <c r="A35" i="73"/>
  <c r="A11" i="64" l="1"/>
  <c r="A20" i="64"/>
  <c r="A19" i="64"/>
  <c r="A18" i="64"/>
  <c r="A17" i="64"/>
  <c r="A16" i="64"/>
  <c r="A15" i="64"/>
  <c r="A14" i="64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N38" i="73" s="1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N37" i="73" s="1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N36" i="73" s="1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N35" i="73" s="1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N11" i="64" s="1"/>
  <c r="E2737" i="65"/>
  <c r="D2737" i="65"/>
  <c r="K11" i="64" s="1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X2796" i="65" s="1"/>
  <c r="B2738" i="65"/>
  <c r="G35" i="73" s="1"/>
  <c r="B2739" i="65"/>
  <c r="G36" i="73" s="1"/>
  <c r="B2740" i="65"/>
  <c r="G37" i="73" s="1"/>
  <c r="B2741" i="65"/>
  <c r="G38" i="73" s="1"/>
  <c r="B2764" i="65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X2741" i="65"/>
  <c r="B2751" i="65"/>
  <c r="X2751" i="65" s="1"/>
  <c r="B2737" i="65"/>
  <c r="X2740" i="65"/>
  <c r="B2748" i="65"/>
  <c r="X2748" i="65" s="1"/>
  <c r="B2756" i="65"/>
  <c r="X2756" i="65" s="1"/>
  <c r="X2739" i="65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X2738" i="65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A10" i="43"/>
  <c r="A9" i="43"/>
  <c r="X2737" i="65" l="1"/>
  <c r="G11" i="64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A33" i="73" l="1"/>
  <c r="A18" i="73" l="1"/>
  <c r="A12" i="73"/>
  <c r="A10" i="64" l="1"/>
  <c r="A22" i="43" l="1"/>
  <c r="A23" i="43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4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N10" i="43" s="1"/>
  <c r="E2730" i="65"/>
  <c r="M10" i="43" s="1"/>
  <c r="D2730" i="65"/>
  <c r="K10" i="43" s="1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N9" i="43" s="1"/>
  <c r="E2729" i="65"/>
  <c r="M9" i="43" s="1"/>
  <c r="D2729" i="65"/>
  <c r="K9" i="43" s="1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M8" i="76" s="1"/>
  <c r="D2690" i="65"/>
  <c r="K8" i="76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X2730" i="65"/>
  <c r="G10" i="43"/>
  <c r="X2729" i="65"/>
  <c r="G9" i="43"/>
  <c r="X2688" i="65"/>
  <c r="X2687" i="65"/>
  <c r="X2686" i="65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9" i="64" s="1"/>
  <c r="E2582" i="65"/>
  <c r="D2583" i="65"/>
  <c r="K20" i="64" s="1"/>
  <c r="E2583" i="65"/>
  <c r="M20" i="64" s="1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P2" i="71"/>
  <c r="G18" i="73"/>
  <c r="A34" i="73"/>
  <c r="A32" i="73"/>
  <c r="A31" i="73"/>
  <c r="A40" i="73"/>
  <c r="A39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9" i="69"/>
  <c r="K28" i="69"/>
  <c r="A28" i="69"/>
  <c r="A21" i="69"/>
  <c r="A20" i="69"/>
  <c r="A19" i="69"/>
  <c r="A18" i="69"/>
  <c r="A17" i="69"/>
  <c r="A16" i="69"/>
  <c r="A15" i="69"/>
  <c r="A14" i="69"/>
  <c r="A13" i="69"/>
  <c r="A12" i="69"/>
  <c r="A11" i="69"/>
  <c r="A8" i="69"/>
  <c r="A7" i="69"/>
  <c r="A10" i="69"/>
  <c r="A9" i="69"/>
  <c r="A6" i="69"/>
  <c r="A5" i="69"/>
  <c r="V2" i="69"/>
  <c r="V2" i="63"/>
  <c r="V2" i="64"/>
  <c r="V2" i="43"/>
  <c r="M15" i="76" l="1"/>
  <c r="M19" i="64"/>
  <c r="G24" i="43"/>
  <c r="N9" i="76"/>
  <c r="N11" i="76"/>
  <c r="M25" i="43"/>
  <c r="M23" i="43"/>
  <c r="K23" i="43"/>
  <c r="K12" i="73"/>
  <c r="K33" i="73"/>
  <c r="N33" i="73"/>
  <c r="M12" i="73"/>
  <c r="M18" i="73"/>
  <c r="M33" i="73"/>
  <c r="K18" i="73"/>
  <c r="G12" i="73"/>
  <c r="G33" i="73"/>
  <c r="K15" i="76"/>
  <c r="P2" i="76"/>
  <c r="M13" i="70"/>
  <c r="M16" i="76"/>
  <c r="K16" i="76"/>
  <c r="N24" i="43"/>
  <c r="M22" i="71"/>
  <c r="P2" i="63"/>
  <c r="M29" i="69"/>
  <c r="K40" i="73"/>
  <c r="M28" i="69"/>
  <c r="P2" i="70"/>
  <c r="M21" i="71"/>
  <c r="K39" i="73"/>
  <c r="M40" i="73"/>
  <c r="N18" i="43"/>
  <c r="N16" i="43"/>
  <c r="K18" i="43"/>
  <c r="M16" i="43"/>
  <c r="P2" i="64"/>
  <c r="P2" i="69"/>
  <c r="K14" i="70"/>
  <c r="M39" i="73"/>
  <c r="M18" i="43"/>
  <c r="K29" i="69"/>
  <c r="K13" i="70"/>
  <c r="M14" i="70"/>
  <c r="K22" i="71"/>
  <c r="P2" i="73"/>
  <c r="K16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9" i="64"/>
  <c r="A8" i="64"/>
  <c r="A7" i="64"/>
  <c r="A6" i="64"/>
  <c r="A5" i="64"/>
  <c r="A26" i="43"/>
  <c r="A25" i="43"/>
  <c r="A21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8" i="64"/>
  <c r="K7" i="64"/>
  <c r="M26" i="43"/>
  <c r="K26" i="43"/>
  <c r="K25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K13" i="64" s="1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0" i="64" s="1"/>
  <c r="E351" i="65"/>
  <c r="M10" i="64" s="1"/>
  <c r="F351" i="65"/>
  <c r="N10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7" i="43" s="1"/>
  <c r="E623" i="65"/>
  <c r="M17" i="43" s="1"/>
  <c r="F623" i="65"/>
  <c r="N17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K14" i="64" s="1"/>
  <c r="E915" i="65"/>
  <c r="F915" i="65"/>
  <c r="N14" i="64" s="1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9" i="64" s="1"/>
  <c r="E983" i="65"/>
  <c r="M9" i="64" s="1"/>
  <c r="F983" i="65"/>
  <c r="N9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5" i="64" s="1"/>
  <c r="E1294" i="65"/>
  <c r="M15" i="64" s="1"/>
  <c r="F1294" i="65"/>
  <c r="N15" i="64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5" i="43" s="1"/>
  <c r="E1553" i="65"/>
  <c r="M15" i="43" s="1"/>
  <c r="F1553" i="65"/>
  <c r="N15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N22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K12" i="64" s="1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3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9" i="64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64" s="1"/>
  <c r="E2585" i="65"/>
  <c r="M6" i="64" s="1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N7" i="64" s="1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N8" i="64" s="1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K16" i="64" s="1"/>
  <c r="E2590" i="65"/>
  <c r="M16" i="64" s="1"/>
  <c r="F2590" i="65"/>
  <c r="N16" i="64" s="1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K17" i="64" s="1"/>
  <c r="E2591" i="65"/>
  <c r="M17" i="64" s="1"/>
  <c r="F2591" i="65"/>
  <c r="N17" i="64" s="1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9" i="69" s="1"/>
  <c r="E2597" i="65"/>
  <c r="M9" i="69" s="1"/>
  <c r="F2597" i="65"/>
  <c r="N9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10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8" i="69" s="1"/>
  <c r="E2599" i="65"/>
  <c r="M8" i="69" s="1"/>
  <c r="F2599" i="65"/>
  <c r="N8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K10" i="71" s="1"/>
  <c r="E2620" i="65"/>
  <c r="M10" i="71" s="1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K28" i="73" s="1"/>
  <c r="E2651" i="65"/>
  <c r="M28" i="73" s="1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K29" i="73" s="1"/>
  <c r="E2652" i="65"/>
  <c r="M29" i="73" s="1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31" i="73" s="1"/>
  <c r="E2667" i="65"/>
  <c r="M31" i="73" s="1"/>
  <c r="F2667" i="65"/>
  <c r="N31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32" i="73" s="1"/>
  <c r="E2668" i="65"/>
  <c r="M32" i="73" s="1"/>
  <c r="F2668" i="65"/>
  <c r="N32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34" i="73" s="1"/>
  <c r="E2675" i="65"/>
  <c r="M34" i="73" s="1"/>
  <c r="F2675" i="65"/>
  <c r="N34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N16" i="76" l="1"/>
  <c r="N20" i="64"/>
  <c r="M30" i="73"/>
  <c r="K30" i="73"/>
  <c r="N14" i="76"/>
  <c r="M14" i="76"/>
  <c r="K14" i="76"/>
  <c r="M6" i="76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5" i="76"/>
  <c r="K5" i="63"/>
  <c r="K5" i="76"/>
  <c r="K16" i="69"/>
  <c r="K17" i="69"/>
  <c r="N6" i="64"/>
  <c r="N16" i="69"/>
  <c r="N17" i="69"/>
  <c r="M16" i="69"/>
  <c r="M17" i="69"/>
  <c r="B2588" i="65"/>
  <c r="X2588" i="65" s="1"/>
  <c r="B2594" i="65"/>
  <c r="B2592" i="65"/>
  <c r="G18" i="64" s="1"/>
  <c r="B2590" i="65"/>
  <c r="G16" i="64" s="1"/>
  <c r="B2593" i="65"/>
  <c r="G7" i="76" s="1"/>
  <c r="B2589" i="65"/>
  <c r="B2591" i="65"/>
  <c r="G17" i="64" s="1"/>
  <c r="B2587" i="65"/>
  <c r="N19" i="69"/>
  <c r="N14" i="43"/>
  <c r="M19" i="69"/>
  <c r="M14" i="43"/>
  <c r="K19" i="69"/>
  <c r="K14" i="43"/>
  <c r="N22" i="71"/>
  <c r="N40" i="73"/>
  <c r="N14" i="70"/>
  <c r="N29" i="69"/>
  <c r="N26" i="43"/>
  <c r="N30" i="63"/>
  <c r="N25" i="43"/>
  <c r="N29" i="63"/>
  <c r="N13" i="70"/>
  <c r="N21" i="71"/>
  <c r="N28" i="69"/>
  <c r="N39" i="73"/>
  <c r="B2583" i="65"/>
  <c r="B2582" i="65"/>
  <c r="B2580" i="65"/>
  <c r="B2579" i="65"/>
  <c r="B2581" i="65"/>
  <c r="G23" i="43" s="1"/>
  <c r="K5" i="43"/>
  <c r="K5" i="64"/>
  <c r="M5" i="70"/>
  <c r="M5" i="71"/>
  <c r="M5" i="69"/>
  <c r="M5" i="73"/>
  <c r="M5" i="43"/>
  <c r="M5" i="64"/>
  <c r="M5" i="63"/>
  <c r="N5" i="71"/>
  <c r="N5" i="73"/>
  <c r="N5" i="69"/>
  <c r="N5" i="70"/>
  <c r="N5" i="43"/>
  <c r="N5" i="64"/>
  <c r="N5" i="63"/>
  <c r="K5" i="69"/>
  <c r="K5" i="70"/>
  <c r="K5" i="71"/>
  <c r="K5" i="73"/>
  <c r="N18" i="69"/>
  <c r="M18" i="69"/>
  <c r="K18" i="69"/>
  <c r="N20" i="69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9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34" i="73" s="1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2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5" i="64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0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6" i="76" l="1"/>
  <c r="G20" i="64"/>
  <c r="X2732" i="65"/>
  <c r="X915" i="65"/>
  <c r="G14" i="64"/>
  <c r="G15" i="76"/>
  <c r="G19" i="64"/>
  <c r="X2593" i="65"/>
  <c r="X2735" i="65"/>
  <c r="X290" i="65"/>
  <c r="G13" i="64"/>
  <c r="G14" i="76"/>
  <c r="X1815" i="65"/>
  <c r="G12" i="64"/>
  <c r="X2576" i="65"/>
  <c r="G8" i="43"/>
  <c r="X2579" i="65"/>
  <c r="G10" i="76"/>
  <c r="X785" i="65"/>
  <c r="X2653" i="65"/>
  <c r="G30" i="73"/>
  <c r="X1652" i="65"/>
  <c r="X991" i="65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X2641" i="65"/>
  <c r="G17" i="73"/>
  <c r="X2669" i="65"/>
  <c r="G32" i="73"/>
  <c r="X2663" i="65"/>
  <c r="X2634" i="65"/>
  <c r="G9" i="73"/>
  <c r="X2675" i="65"/>
  <c r="X2665" i="65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X2666" i="65"/>
  <c r="X2631" i="65"/>
  <c r="G6" i="73"/>
  <c r="X2668" i="65"/>
  <c r="G31" i="73"/>
  <c r="X2649" i="65"/>
  <c r="G26" i="73"/>
  <c r="X2659" i="65"/>
  <c r="X2650" i="65"/>
  <c r="G27" i="73"/>
  <c r="X2667" i="65"/>
  <c r="X2652" i="65"/>
  <c r="G29" i="73"/>
  <c r="X2638" i="65"/>
  <c r="G14" i="73"/>
  <c r="X2635" i="65"/>
  <c r="G10" i="73"/>
  <c r="X2664" i="65"/>
  <c r="X2637" i="65"/>
  <c r="G13" i="73"/>
  <c r="X2674" i="65"/>
  <c r="X2639" i="65"/>
  <c r="G15" i="73"/>
  <c r="X2662" i="65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10" i="69"/>
  <c r="X2603" i="65"/>
  <c r="G12" i="70"/>
  <c r="G14" i="69"/>
  <c r="X2597" i="65"/>
  <c r="G9" i="69"/>
  <c r="X2599" i="65"/>
  <c r="G8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8" i="64"/>
  <c r="G16" i="69"/>
  <c r="G7" i="64"/>
  <c r="G17" i="69"/>
  <c r="X2586" i="65"/>
  <c r="X2585" i="65"/>
  <c r="G6" i="64"/>
  <c r="X2584" i="65"/>
  <c r="P2" i="43"/>
  <c r="G29" i="63"/>
  <c r="G25" i="43"/>
  <c r="G30" i="63"/>
  <c r="G26" i="43"/>
  <c r="G29" i="69"/>
  <c r="G40" i="73"/>
  <c r="G22" i="71"/>
  <c r="G14" i="70"/>
  <c r="G39" i="73"/>
  <c r="G21" i="71"/>
  <c r="G28" i="69"/>
  <c r="G13" i="70"/>
  <c r="X623" i="65"/>
  <c r="G17" i="43"/>
  <c r="X1469" i="65"/>
  <c r="G12" i="43"/>
  <c r="X1572" i="65"/>
  <c r="X2578" i="65"/>
  <c r="G18" i="43"/>
  <c r="G13" i="43"/>
  <c r="G16" i="43"/>
  <c r="X339" i="65"/>
  <c r="G6" i="43"/>
  <c r="G7" i="69"/>
  <c r="X2577" i="65"/>
  <c r="G5" i="63"/>
  <c r="G5" i="64"/>
  <c r="G5" i="43"/>
  <c r="X2575" i="65"/>
  <c r="G7" i="43"/>
  <c r="X2574" i="65"/>
  <c r="G5" i="73"/>
  <c r="G5" i="71"/>
  <c r="G5" i="70"/>
  <c r="G5" i="69"/>
  <c r="X1599" i="65"/>
  <c r="G18" i="69"/>
  <c r="X1440" i="65"/>
  <c r="X2452" i="65"/>
  <c r="G6" i="69"/>
  <c r="X1268" i="65"/>
  <c r="G19" i="63"/>
  <c r="G14" i="43"/>
  <c r="X2233" i="65"/>
  <c r="G16" i="63"/>
  <c r="X351" i="65"/>
  <c r="G18" i="63"/>
  <c r="X559" i="65"/>
  <c r="G12" i="63"/>
  <c r="X1294" i="65"/>
  <c r="X2236" i="65"/>
  <c r="X657" i="65"/>
  <c r="G26" i="63"/>
  <c r="G21" i="43"/>
  <c r="X272" i="65"/>
  <c r="G13" i="63"/>
  <c r="X1468" i="65"/>
  <c r="G9" i="63"/>
  <c r="G11" i="43"/>
  <c r="X1553" i="65"/>
  <c r="G20" i="63"/>
  <c r="G15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<sst xmlns="http://schemas.openxmlformats.org/spreadsheetml/2006/main" count="20430" uniqueCount="7068">
  <si>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</si>
  <si>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</si>
  <si>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</si>
  <si>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</si>
  <si>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</si>
  <si>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</si>
  <si>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</si>
  <si>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</si>
  <si>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</si>
  <si>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</si>
  <si>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</si>
  <si>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</si>
  <si>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</si>
  <si>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</si>
  <si>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</si>
  <si>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</si>
  <si>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</si>
  <si>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</si>
  <si>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</si>
  <si>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</si>
  <si>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</si>
  <si>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</si>
  <si>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</si>
  <si>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</si>
  <si>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</si>
  <si>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</si>
  <si>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</si>
  <si>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</si>
  <si>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</si>
  <si>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</si>
  <si>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</si>
  <si>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</si>
  <si>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</si>
  <si>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</si>
  <si>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</si>
  <si>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</si>
  <si>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</si>
  <si>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</si>
  <si>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</si>
  <si>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</si>
  <si>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</si>
  <si>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</si>
  <si>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</si>
  <si>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</si>
  <si>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</si>
  <si>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</si>
  <si>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</si>
  <si>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</si>
  <si>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</si>
  <si>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</si>
  <si>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</si>
  <si>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</si>
  <si>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</si>
  <si>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</si>
  <si>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</si>
  <si>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</si>
  <si>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</si>
  <si>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</si>
  <si>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</si>
  <si>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</si>
  <si>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</si>
  <si>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</si>
  <si>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</si>
  <si>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</si>
  <si>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</si>
  <si>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</si>
  <si>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</si>
  <si>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</si>
  <si>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</si>
  <si>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</si>
  <si>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</si>
  <si>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</si>
  <si>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</si>
  <si>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</si>
  <si>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</si>
  <si>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</si>
  <si>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</si>
  <si>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</si>
  <si>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</si>
  <si>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</si>
  <si>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</si>
  <si>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</si>
  <si>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</si>
  <si>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</si>
  <si>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</si>
  <si>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</si>
  <si>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</si>
  <si>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</si>
  <si>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</si>
  <si>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</si>
  <si>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</si>
  <si>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</si>
  <si>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</si>
  <si>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</si>
  <si>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</si>
  <si>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</si>
  <si>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</si>
  <si>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</si>
  <si>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</si>
  <si>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</si>
  <si>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</si>
  <si>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</si>
  <si>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</si>
  <si>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</si>
  <si>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</si>
  <si>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</si>
  <si>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</si>
  <si>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</si>
  <si>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</si>
  <si>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</si>
  <si>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</si>
  <si>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</si>
  <si>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</si>
  <si>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</si>
  <si>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</si>
  <si>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</si>
  <si>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</si>
  <si>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</si>
  <si>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</si>
  <si>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</si>
  <si>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</si>
  <si>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</si>
  <si>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</si>
  <si>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</si>
  <si>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</si>
  <si>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</si>
  <si>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</si>
  <si>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</si>
  <si>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</si>
  <si>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</si>
  <si>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</si>
  <si>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</si>
  <si>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</si>
  <si>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</si>
  <si>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</si>
  <si>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</si>
  <si>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</si>
  <si>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</si>
  <si>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</si>
  <si>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</si>
  <si>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</si>
  <si>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</si>
  <si>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</si>
  <si>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</si>
  <si>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</si>
  <si>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</si>
  <si>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</si>
  <si>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</si>
  <si>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</si>
  <si>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</si>
  <si>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</si>
  <si>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</si>
  <si>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</si>
  <si>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</si>
  <si>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</si>
  <si>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</si>
  <si>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</si>
  <si>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</si>
  <si>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</si>
  <si>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</si>
  <si>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</si>
  <si>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</si>
  <si>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</si>
  <si>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</si>
  <si>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</si>
  <si>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</si>
  <si>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</si>
  <si>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</si>
  <si>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</si>
  <si>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</si>
  <si>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</si>
  <si>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</si>
  <si>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</si>
  <si>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</si>
  <si>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</si>
  <si>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</si>
  <si>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</si>
  <si>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</si>
  <si>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</si>
  <si>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</si>
  <si>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</si>
  <si>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</si>
  <si>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</si>
  <si>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</si>
  <si>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</si>
  <si>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</si>
  <si>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</si>
  <si>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</si>
  <si>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</si>
  <si>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</si>
  <si>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</si>
  <si>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</si>
  <si>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</si>
  <si>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</si>
  <si>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</si>
  <si>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</si>
  <si>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</si>
  <si>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</si>
  <si>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</si>
  <si>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</si>
  <si>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</si>
  <si>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</si>
  <si>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</si>
  <si>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</si>
  <si>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</si>
  <si>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</si>
  <si>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</si>
  <si>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</si>
  <si>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</si>
  <si>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</si>
  <si>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</si>
  <si>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</si>
  <si>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</si>
  <si>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</si>
  <si>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</si>
  <si>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</si>
  <si>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</si>
  <si>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</si>
  <si>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</si>
  <si>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</si>
  <si>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</si>
  <si>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</si>
  <si>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</si>
  <si>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</si>
  <si>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</si>
  <si>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</si>
  <si>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</si>
  <si>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</si>
  <si>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</si>
  <si>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</si>
  <si>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</si>
  <si>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</si>
  <si>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</si>
  <si>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</si>
  <si>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</si>
  <si>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</si>
  <si>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</si>
  <si>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</si>
  <si>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</si>
  <si>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</si>
  <si>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</si>
  <si>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</si>
  <si>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</si>
  <si>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</si>
  <si>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</si>
  <si>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</si>
  <si>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</si>
  <si>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</si>
  <si>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</si>
  <si>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</si>
  <si>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</si>
  <si>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</si>
  <si>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</si>
  <si>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</si>
  <si>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</si>
  <si>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</si>
  <si>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</si>
  <si>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</si>
  <si>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</si>
  <si>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</si>
  <si>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</si>
  <si>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</si>
  <si>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</si>
  <si>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</si>
  <si>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</si>
  <si>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</si>
  <si>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</si>
  <si>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</si>
  <si>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</si>
  <si>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</si>
  <si>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</si>
  <si>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</si>
  <si>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</si>
  <si>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</si>
  <si>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</si>
  <si>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</si>
  <si>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</si>
  <si>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</si>
  <si>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</si>
  <si>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</si>
  <si>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</si>
  <si>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</si>
  <si>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</si>
  <si>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</si>
  <si>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</si>
  <si>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</si>
  <si>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</si>
  <si>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</si>
  <si>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</si>
  <si>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</si>
  <si>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</si>
  <si>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</si>
  <si>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</si>
  <si>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</si>
  <si>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</si>
  <si>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</si>
  <si>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</si>
  <si>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</si>
  <si>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</si>
  <si>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</si>
  <si>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</si>
  <si>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</si>
  <si>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</si>
  <si>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</si>
  <si>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</si>
  <si>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</si>
  <si>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</si>
  <si>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</si>
  <si>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</si>
  <si>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</si>
  <si>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</si>
  <si>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</si>
  <si>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</si>
  <si>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</si>
  <si>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</si>
  <si>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</si>
  <si>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</si>
  <si>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</si>
  <si>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</si>
  <si>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</si>
  <si>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</si>
  <si>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</si>
  <si>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</si>
  <si>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</si>
  <si>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</si>
  <si>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</si>
  <si>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</si>
  <si>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</si>
  <si>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</si>
  <si>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</si>
  <si>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</si>
  <si>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</si>
  <si>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</si>
  <si>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</si>
  <si>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</si>
  <si>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</si>
  <si>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</si>
  <si>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</si>
  <si>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</si>
  <si>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</si>
  <si>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</si>
  <si>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</si>
  <si>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</si>
  <si>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</si>
  <si>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</si>
  <si>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</si>
  <si>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</si>
  <si>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</si>
  <si>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</si>
  <si>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</si>
  <si>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</si>
  <si>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</si>
  <si>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</si>
  <si>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</si>
  <si>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</si>
  <si>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</si>
  <si>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</si>
  <si>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</si>
  <si>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</si>
  <si>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</si>
  <si>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</si>
  <si>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</si>
  <si>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</si>
  <si>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</si>
  <si>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</si>
  <si>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</si>
  <si>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</si>
  <si>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</si>
  <si>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</si>
  <si>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</si>
  <si>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</si>
  <si>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</si>
  <si>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</si>
  <si>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</si>
  <si>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</si>
  <si>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</si>
  <si>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</si>
  <si>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</si>
  <si>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</si>
  <si>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</si>
  <si>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</si>
  <si>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</si>
  <si>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</si>
  <si>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</si>
  <si>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</si>
  <si>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</si>
  <si>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</si>
  <si>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</si>
  <si>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</si>
  <si>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</si>
  <si>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</si>
  <si>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</si>
  <si>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</si>
  <si>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</si>
  <si>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</si>
  <si>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</si>
  <si>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</si>
  <si>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</si>
  <si>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</si>
  <si>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</si>
  <si>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</si>
  <si>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</si>
  <si>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</si>
  <si>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</si>
  <si>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</si>
  <si>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</si>
  <si>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</si>
  <si>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</si>
  <si>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</si>
  <si>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</si>
  <si>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</si>
  <si>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</si>
  <si>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</si>
  <si>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</si>
  <si>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</si>
  <si>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</si>
  <si>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</si>
  <si>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</si>
  <si>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</si>
  <si>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</si>
  <si>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</si>
  <si>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</si>
  <si>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</si>
  <si>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</si>
  <si>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</si>
  <si>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</si>
  <si>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</si>
  <si>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</si>
  <si>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</si>
  <si>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</si>
  <si>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</si>
  <si>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</si>
  <si>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</si>
  <si>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</si>
  <si>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</si>
  <si>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</si>
  <si>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</si>
  <si>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</si>
  <si>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</si>
  <si>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</si>
  <si>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</si>
  <si>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</si>
  <si>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</si>
  <si>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</si>
  <si>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</si>
  <si>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</si>
  <si>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</si>
  <si>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</si>
  <si>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</si>
  <si>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</si>
  <si>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</si>
  <si>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</si>
  <si>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</si>
  <si>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</si>
  <si>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</si>
  <si>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</si>
  <si>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</si>
  <si>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</si>
  <si>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</si>
  <si>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</si>
  <si>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</si>
  <si>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</si>
  <si>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</si>
  <si>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</si>
  <si>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</si>
  <si>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</si>
  <si>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</si>
  <si>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</si>
  <si>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</si>
  <si>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</si>
  <si>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</si>
  <si>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</si>
  <si>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</si>
  <si>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</si>
  <si>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</si>
  <si>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</si>
  <si>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</si>
  <si>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</si>
  <si>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</si>
  <si>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</si>
  <si>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</si>
  <si>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</si>
  <si>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</si>
  <si>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</si>
  <si>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</si>
  <si>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</si>
  <si>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</si>
  <si>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</si>
  <si>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</si>
  <si>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</si>
  <si>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</si>
  <si>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</si>
  <si>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</si>
  <si>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</si>
  <si>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</si>
  <si>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</si>
  <si>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</si>
  <si>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</si>
  <si>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</si>
  <si>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</si>
  <si>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</si>
  <si>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</si>
  <si>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</si>
  <si>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</si>
  <si>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</si>
  <si>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</si>
  <si>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</si>
  <si>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</si>
  <si>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</si>
  <si>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</si>
  <si>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</si>
  <si>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</si>
  <si>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</si>
  <si>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</si>
  <si>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</si>
  <si>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</si>
  <si>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</si>
  <si>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</si>
  <si>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</si>
  <si>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</si>
  <si>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</si>
  <si>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</si>
  <si>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</si>
  <si>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</si>
  <si>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</si>
  <si>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</si>
  <si>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</si>
  <si>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</si>
  <si>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</si>
  <si>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</si>
  <si>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</si>
  <si>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</si>
  <si>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</si>
  <si>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</si>
  <si>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</si>
  <si>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</si>
  <si>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</si>
  <si>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</si>
  <si>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</si>
  <si>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</si>
  <si>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</si>
  <si>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</si>
  <si>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</si>
  <si>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</si>
  <si>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</si>
  <si>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</si>
  <si>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</si>
  <si>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</si>
  <si>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</si>
  <si>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</si>
  <si>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</si>
  <si>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</si>
  <si>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</si>
  <si>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</si>
  <si>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</si>
  <si>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</si>
  <si>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</si>
  <si>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</si>
  <si>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</si>
  <si>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</si>
  <si>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</si>
  <si>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</si>
  <si>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</si>
  <si>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</si>
  <si>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</si>
  <si>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</si>
  <si>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</si>
  <si>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</si>
  <si>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</si>
  <si>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</si>
  <si>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</si>
  <si>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</si>
  <si>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</si>
  <si>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</si>
  <si>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</si>
  <si>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</si>
  <si>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</si>
  <si>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</si>
  <si>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</si>
  <si>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</si>
  <si>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</si>
  <si>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</si>
  <si>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</si>
  <si>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</si>
  <si>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</si>
  <si>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</si>
  <si>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</si>
  <si>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</si>
  <si>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</si>
  <si>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</si>
  <si>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</si>
  <si>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</si>
  <si>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</si>
  <si>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</si>
  <si>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</si>
  <si>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</si>
  <si>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</si>
  <si>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</si>
  <si>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</si>
  <si>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</si>
  <si>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</si>
  <si>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</si>
  <si>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</si>
  <si>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</si>
  <si>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</si>
  <si>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</si>
  <si>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</si>
  <si>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</si>
  <si>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</si>
  <si>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</si>
  <si>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</si>
  <si>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</si>
  <si>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</si>
  <si>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</si>
  <si>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</si>
  <si>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</si>
  <si>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</si>
  <si>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</si>
  <si>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</si>
  <si>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</si>
  <si>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</si>
  <si>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</si>
  <si>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</si>
  <si>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</si>
  <si>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</si>
  <si>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</si>
  <si>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</si>
  <si>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</si>
  <si>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</si>
  <si>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</si>
  <si>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</si>
  <si>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</si>
  <si>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</si>
  <si>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</si>
  <si>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</si>
  <si>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</si>
  <si>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</si>
  <si>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</si>
  <si>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</si>
  <si>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</si>
  <si>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</si>
  <si>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</si>
  <si>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</si>
  <si>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</si>
  <si>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</si>
  <si>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</si>
  <si>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</si>
  <si>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</si>
  <si>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</si>
  <si>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</si>
  <si>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</si>
  <si>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</si>
  <si>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</si>
  <si>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</si>
  <si>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</si>
  <si>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</si>
  <si>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</si>
  <si>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</si>
  <si>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</si>
  <si>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</si>
  <si>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</si>
  <si>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</si>
  <si>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</si>
  <si>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</si>
  <si>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</si>
  <si>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</si>
  <si>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</si>
  <si>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</si>
  <si>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</si>
  <si>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</si>
  <si>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</si>
  <si>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</si>
  <si>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</si>
  <si>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</si>
  <si>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</si>
  <si>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</si>
  <si>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</si>
  <si>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</si>
  <si>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</si>
  <si>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</si>
  <si>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</si>
  <si>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</si>
  <si>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</si>
  <si>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</si>
  <si>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</si>
  <si>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</si>
  <si>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</si>
  <si>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</si>
  <si>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</si>
  <si>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</si>
  <si>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</si>
  <si>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</si>
  <si>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</si>
  <si>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</si>
  <si>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</si>
  <si>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</si>
  <si>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</si>
  <si>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</si>
  <si>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</si>
  <si>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</si>
  <si>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</si>
  <si>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</si>
  <si>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</si>
  <si>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</si>
  <si>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</si>
  <si>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</si>
  <si>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</si>
  <si>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</si>
  <si>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</si>
  <si>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</si>
  <si>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</si>
  <si>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</si>
  <si>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</si>
  <si>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</si>
  <si>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</si>
  <si>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</si>
  <si>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</si>
  <si>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</si>
  <si>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</si>
  <si>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</si>
  <si>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</si>
  <si>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</si>
  <si>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</si>
  <si>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</si>
  <si>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</si>
  <si>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</si>
  <si>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</si>
  <si>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</si>
  <si>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</si>
  <si>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</si>
  <si>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</si>
  <si>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</si>
  <si>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</si>
  <si>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</si>
  <si>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</si>
  <si>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</si>
  <si>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</si>
  <si>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</si>
  <si>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</si>
  <si>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</si>
  <si>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</si>
  <si>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</si>
  <si>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</si>
  <si>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</si>
  <si>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</si>
  <si>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</si>
  <si>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</si>
  <si>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</si>
  <si>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</si>
  <si>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</si>
  <si>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</si>
  <si>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</si>
  <si>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</si>
  <si>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</si>
  <si>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</si>
  <si>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</si>
  <si>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</si>
  <si>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</si>
  <si>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</si>
  <si>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</si>
  <si>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</si>
  <si>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</si>
  <si>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</si>
  <si>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</si>
  <si>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</si>
  <si>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</si>
  <si>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</si>
  <si>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</si>
  <si>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</si>
  <si>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</si>
  <si>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</si>
  <si>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</si>
  <si>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</si>
  <si>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</si>
  <si>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</si>
  <si>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</si>
  <si>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</si>
  <si>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</si>
  <si>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</si>
  <si>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</si>
  <si>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</si>
  <si>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</si>
  <si>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</si>
  <si>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</si>
  <si>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</si>
  <si>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</si>
  <si>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</si>
  <si>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</si>
  <si>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</si>
  <si>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</si>
  <si>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</si>
  <si>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</si>
  <si>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</si>
  <si>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</si>
  <si>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</si>
  <si>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</si>
  <si>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</si>
  <si>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</si>
  <si>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</si>
  <si>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</si>
  <si>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</si>
  <si>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</si>
  <si>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</si>
  <si>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</si>
  <si>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</si>
  <si>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</si>
  <si>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</si>
  <si>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</si>
  <si>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</si>
  <si>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</si>
  <si>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</si>
  <si>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</si>
  <si>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</si>
  <si>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</si>
  <si>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</si>
  <si>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</si>
  <si>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</si>
  <si>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</si>
  <si>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</si>
  <si>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</si>
  <si>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</si>
  <si>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</si>
  <si>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</si>
  <si>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</si>
  <si>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</si>
  <si>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</si>
  <si>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</si>
  <si>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</si>
  <si>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</si>
  <si>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</si>
  <si>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</si>
  <si>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</si>
  <si>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</si>
  <si>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</si>
  <si>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</si>
  <si>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</si>
  <si>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</si>
  <si>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</si>
  <si>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</si>
  <si>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</si>
  <si>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</si>
  <si>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</si>
  <si>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</si>
  <si>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</si>
  <si>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</si>
  <si>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</si>
  <si>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</si>
  <si>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</si>
  <si>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</si>
  <si>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</si>
  <si>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</si>
  <si>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</si>
  <si>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</si>
  <si>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</si>
  <si>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</si>
  <si>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</si>
  <si>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</si>
  <si>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</si>
  <si>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</si>
  <si>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</si>
  <si>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</si>
  <si>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</si>
  <si>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</si>
  <si>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</si>
  <si>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</si>
  <si>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</si>
  <si>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</si>
  <si>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</si>
  <si>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</si>
  <si>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</si>
  <si>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</si>
  <si>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</si>
  <si>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</si>
  <si>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</si>
  <si>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</si>
  <si>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</si>
  <si>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</si>
  <si>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</si>
  <si>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</si>
  <si>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</si>
  <si>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</si>
  <si>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</si>
  <si>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</si>
  <si>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</si>
  <si>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</si>
  <si>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</si>
  <si>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</si>
  <si>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</si>
  <si>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</si>
  <si>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</si>
  <si>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</si>
  <si>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</si>
  <si>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</si>
  <si>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</si>
  <si>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</si>
  <si>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</si>
  <si>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</si>
  <si>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</si>
  <si>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</si>
  <si>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</si>
  <si>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</si>
  <si>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</si>
  <si>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</si>
  <si>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</si>
  <si>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</si>
  <si>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</si>
  <si>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</si>
  <si>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</si>
  <si>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</si>
  <si>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</si>
  <si>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</si>
  <si>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</si>
  <si>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</si>
  <si>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</si>
  <si>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</si>
  <si>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</si>
  <si>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</si>
  <si>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</si>
  <si>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</si>
  <si>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</si>
  <si>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</si>
  <si>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</si>
  <si>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</si>
  <si>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</si>
  <si>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</si>
  <si>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</si>
  <si>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</si>
  <si>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</si>
  <si>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</si>
  <si>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</si>
  <si>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</si>
  <si>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</si>
  <si>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</si>
  <si>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</si>
  <si>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</si>
  <si>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</si>
  <si>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</si>
  <si>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</si>
  <si>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</si>
  <si>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</si>
  <si>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</si>
  <si>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</si>
  <si>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</si>
  <si>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</si>
  <si>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</si>
  <si>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</si>
  <si>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</si>
  <si>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</si>
  <si>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</si>
  <si>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</si>
  <si>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</si>
  <si>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</si>
  <si>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</si>
  <si>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</si>
  <si>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</si>
  <si>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</si>
  <si>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</si>
  <si>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</si>
  <si>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</si>
  <si>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</si>
  <si>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</si>
  <si>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</si>
  <si>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</si>
  <si>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</si>
  <si>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</si>
  <si>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</si>
  <si>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</si>
  <si>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</si>
  <si>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</si>
  <si>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</si>
  <si>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</si>
  <si>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</si>
  <si>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</si>
  <si>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</si>
  <si>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</si>
  <si>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</si>
  <si>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</si>
  <si>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</si>
  <si>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</si>
  <si>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</si>
  <si>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</si>
  <si>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</si>
  <si>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</si>
  <si>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</si>
  <si>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</si>
  <si>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</si>
  <si>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</si>
  <si>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</si>
  <si>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</si>
  <si>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</si>
  <si>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</si>
  <si>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</si>
  <si>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</si>
  <si>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</si>
  <si>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</si>
  <si>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</si>
  <si>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</si>
  <si>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</si>
  <si>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</si>
  <si>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</si>
  <si>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</si>
  <si>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</si>
  <si>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</si>
  <si>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</si>
  <si>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</si>
  <si>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</si>
  <si>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</si>
  <si>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</si>
  <si>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</si>
  <si>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</si>
  <si>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</si>
  <si>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</si>
  <si>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</si>
  <si>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</si>
  <si>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</si>
  <si>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</si>
  <si>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</si>
  <si>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</si>
  <si>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</si>
  <si>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</si>
  <si>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</si>
  <si>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</si>
  <si>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</si>
  <si>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</si>
  <si>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</si>
  <si>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</si>
  <si>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</si>
  <si>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</si>
  <si>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</si>
  <si>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</si>
  <si>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</si>
  <si>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</si>
  <si>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</si>
  <si>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</si>
  <si>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</si>
  <si>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</si>
  <si>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</si>
  <si>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</si>
  <si>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</si>
  <si>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</si>
  <si>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</si>
  <si>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</si>
  <si>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</si>
  <si>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</si>
  <si>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</si>
  <si>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</si>
  <si>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</si>
  <si>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</si>
  <si>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</si>
  <si>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</si>
  <si>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</si>
  <si>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</si>
  <si>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</si>
  <si>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</si>
  <si>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</si>
  <si>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</si>
  <si>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</si>
  <si>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</si>
  <si>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</si>
  <si>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</si>
  <si>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</si>
  <si>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</si>
  <si>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</si>
  <si>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</si>
  <si>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</si>
  <si>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</si>
  <si>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</si>
  <si>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</si>
  <si>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</si>
  <si>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</si>
  <si>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</si>
  <si>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</si>
  <si>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</si>
  <si>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</si>
  <si>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</si>
  <si>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</si>
  <si>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</si>
  <si>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</si>
  <si>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</si>
  <si>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</si>
  <si>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</si>
  <si>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</si>
  <si>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</si>
  <si>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</si>
  <si>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</si>
  <si>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</si>
  <si>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</si>
  <si>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</si>
  <si>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</si>
  <si>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</si>
  <si>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</si>
  <si>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</si>
  <si>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</si>
  <si>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</si>
  <si>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</si>
  <si>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</si>
  <si>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</si>
  <si>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</si>
  <si>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</si>
  <si>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</si>
  <si>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</si>
  <si>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</si>
  <si>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</si>
  <si>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</si>
  <si>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</si>
  <si>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</si>
  <si>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</si>
  <si>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</si>
  <si>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</si>
  <si>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</si>
  <si>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</si>
  <si>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</si>
  <si>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</si>
  <si>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</si>
  <si>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</si>
  <si>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</si>
  <si>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</si>
  <si>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</si>
  <si>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</si>
  <si>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</si>
  <si>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</si>
  <si>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</si>
  <si>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</si>
  <si>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</si>
  <si>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</si>
  <si>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</si>
  <si>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</si>
  <si>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</si>
  <si>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</si>
  <si>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</si>
  <si>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</si>
  <si>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</si>
  <si>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</si>
  <si>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</si>
  <si>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</si>
  <si>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</si>
  <si>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</si>
  <si>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</si>
  <si>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</si>
  <si>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</si>
  <si>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</si>
  <si>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</si>
  <si>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</si>
  <si>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</si>
  <si>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</si>
  <si>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</si>
  <si>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</si>
  <si>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</si>
  <si>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</si>
  <si>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</si>
  <si>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</si>
  <si>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</si>
  <si>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</si>
  <si>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</si>
  <si>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</si>
  <si>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</si>
  <si>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</si>
  <si>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</si>
  <si>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</si>
  <si>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</si>
  <si>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</si>
  <si>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</si>
  <si>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</si>
  <si>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</si>
  <si>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</si>
  <si>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</si>
  <si>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</si>
  <si>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</si>
  <si>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</si>
  <si>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</si>
  <si>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</si>
  <si>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</si>
  <si>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</si>
  <si>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</si>
  <si>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</si>
  <si>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</si>
  <si>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</si>
  <si>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</si>
  <si>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</si>
  <si>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</si>
  <si>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</si>
  <si>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</si>
  <si>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</si>
  <si>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</si>
  <si>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</si>
  <si>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</si>
  <si>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</si>
  <si>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</si>
  <si>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</si>
  <si>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</si>
  <si>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</si>
  <si>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</si>
  <si>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</si>
  <si>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</si>
  <si>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</si>
  <si>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</si>
  <si>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</si>
  <si>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</si>
  <si>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</si>
  <si>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</si>
  <si>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</si>
  <si>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</si>
  <si>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</si>
  <si>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</si>
  <si>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</si>
  <si>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</si>
  <si>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</si>
  <si>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</si>
  <si>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</si>
  <si>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</si>
  <si>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</si>
  <si>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</si>
  <si>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</si>
  <si>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</si>
  <si>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</si>
  <si>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</si>
  <si>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</si>
  <si>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</si>
  <si>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</si>
  <si>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</si>
  <si>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</si>
  <si>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</si>
  <si>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</si>
  <si>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</si>
  <si>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</si>
  <si>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</si>
  <si>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</si>
  <si>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</si>
  <si>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</si>
  <si>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</si>
  <si>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</si>
  <si>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</si>
  <si>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</si>
  <si>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</si>
  <si>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</si>
  <si>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</si>
  <si>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</si>
  <si>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</si>
  <si>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</si>
  <si>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</si>
  <si>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</si>
  <si>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</si>
  <si>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</si>
  <si>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</si>
  <si>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</si>
  <si>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</si>
  <si>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</si>
  <si>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</si>
  <si>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</si>
  <si>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</si>
  <si>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</si>
  <si>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</si>
  <si>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</si>
  <si>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</si>
  <si>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</si>
  <si>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</si>
  <si>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</si>
  <si>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</si>
  <si>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</si>
  <si>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</si>
  <si>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</si>
  <si>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</si>
  <si>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</si>
  <si>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</si>
  <si>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</si>
  <si>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</si>
  <si>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</si>
  <si>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</si>
  <si>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</si>
  <si>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</si>
  <si>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</si>
  <si>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</si>
  <si>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</si>
  <si>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</si>
  <si>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</si>
  <si>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</si>
  <si>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</si>
  <si>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</si>
  <si>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</si>
  <si>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</si>
  <si>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</si>
  <si>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</si>
  <si>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</si>
  <si>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</si>
  <si>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</si>
  <si>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</si>
  <si>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</si>
  <si>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</si>
  <si>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</si>
  <si>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</si>
  <si>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</si>
  <si>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</si>
  <si>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</si>
  <si>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</si>
  <si>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</si>
  <si>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</si>
  <si>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</si>
  <si>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</si>
  <si>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</si>
  <si>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</si>
  <si>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</si>
  <si>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</si>
  <si>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</si>
  <si>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</si>
  <si>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</si>
  <si>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</si>
  <si>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</si>
  <si>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</si>
  <si>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</si>
  <si>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</si>
  <si>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</si>
  <si>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</si>
  <si>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</si>
  <si>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</si>
  <si>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</si>
  <si>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</si>
  <si>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</si>
  <si>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</si>
  <si>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</si>
  <si>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</si>
  <si>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</si>
  <si>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</si>
  <si>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</si>
  <si>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</si>
  <si>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</si>
  <si>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</si>
  <si>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</si>
  <si>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</si>
  <si>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</si>
  <si>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</si>
  <si>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</si>
  <si>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</si>
  <si>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</si>
  <si>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</si>
  <si>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</si>
  <si>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</si>
  <si>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</si>
  <si>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</si>
  <si>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</si>
  <si>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</si>
  <si>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</si>
  <si>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</si>
  <si>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</si>
  <si>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</si>
  <si>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</si>
  <si>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</si>
  <si>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</si>
  <si>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</si>
  <si>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</si>
  <si>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</si>
  <si>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</si>
  <si>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</si>
  <si>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</si>
  <si>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</si>
  <si>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</si>
  <si>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</si>
  <si>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</si>
  <si>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</si>
  <si>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</si>
  <si>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</si>
  <si>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</si>
  <si>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</si>
  <si>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</si>
  <si>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</si>
  <si>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</si>
  <si>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</si>
  <si>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</si>
  <si>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</si>
  <si>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</si>
  <si>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</si>
  <si>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</si>
  <si>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</si>
  <si>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</si>
  <si>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</si>
  <si>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</si>
  <si>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</si>
  <si>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</si>
  <si>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</si>
  <si>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</si>
  <si>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</si>
  <si>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</si>
  <si>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</si>
  <si>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</si>
  <si>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</si>
  <si>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</si>
  <si>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</si>
  <si>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</si>
  <si>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</si>
  <si>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</si>
  <si>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</si>
  <si>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</si>
  <si>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</si>
  <si>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</si>
  <si>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</si>
  <si>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</si>
  <si>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</si>
  <si>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</si>
  <si>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</si>
  <si>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</si>
  <si>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</si>
  <si>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</si>
  <si>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</si>
  <si>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</si>
  <si>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</si>
  <si>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</si>
  <si>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</si>
  <si>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</si>
  <si>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</si>
  <si>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</si>
  <si>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</si>
  <si>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</si>
  <si>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</si>
  <si>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</si>
  <si>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</si>
  <si>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</si>
  <si>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</si>
  <si>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</si>
  <si>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</si>
  <si>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</si>
  <si>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</si>
  <si>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</si>
  <si>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</si>
  <si>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</si>
  <si>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</si>
  <si>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</si>
  <si>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</si>
  <si>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</si>
  <si>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</si>
  <si>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</si>
  <si>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</si>
  <si>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</si>
  <si>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</si>
  <si>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</si>
  <si>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</si>
  <si>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</si>
  <si>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</si>
  <si>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</si>
  <si>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</si>
  <si>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</si>
  <si>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</si>
  <si>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</si>
  <si>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</si>
  <si>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</si>
  <si>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</si>
  <si>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</si>
  <si>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</si>
  <si>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</si>
  <si>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</si>
  <si>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</si>
  <si>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</si>
  <si>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</si>
  <si>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</si>
  <si>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</si>
  <si>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</si>
  <si>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</si>
  <si>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</si>
  <si>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</si>
  <si>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</si>
  <si>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</si>
  <si>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</si>
  <si>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</si>
  <si>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</si>
  <si>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</si>
  <si>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</si>
  <si>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</si>
  <si>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</si>
  <si>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</si>
  <si>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</si>
  <si>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</si>
  <si>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</si>
  <si>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</si>
  <si>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</si>
  <si>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</si>
  <si>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</si>
  <si>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</si>
  <si>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</si>
  <si>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</si>
  <si>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</si>
  <si>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</si>
  <si>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</si>
  <si>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</si>
  <si>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</si>
  <si>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</si>
  <si>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</si>
  <si>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</si>
  <si>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</si>
  <si>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</si>
  <si>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</si>
  <si>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</si>
  <si>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</si>
  <si>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</si>
  <si>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</si>
  <si>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</si>
  <si>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</si>
  <si>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</si>
  <si>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</si>
  <si>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</si>
  <si>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</si>
  <si>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</si>
  <si>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</si>
  <si>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</si>
  <si>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</si>
  <si>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</si>
  <si>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</si>
  <si>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</si>
  <si>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</si>
  <si>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</si>
  <si>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</si>
  <si>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</si>
  <si>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</si>
  <si>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</si>
  <si>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</si>
  <si>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</si>
  <si>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</si>
  <si>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</si>
  <si>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</si>
  <si>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</si>
  <si>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</si>
  <si>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</si>
  <si>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</si>
  <si>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</si>
  <si>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</si>
  <si>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</si>
  <si>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</si>
  <si>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</si>
  <si>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</si>
  <si>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</si>
  <si>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</si>
  <si>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</si>
  <si>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</si>
  <si>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</si>
  <si>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</si>
  <si>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</si>
  <si>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</si>
  <si>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</si>
  <si>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</si>
  <si>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</si>
  <si>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</si>
  <si>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</si>
  <si>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</si>
  <si>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</si>
  <si>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</si>
  <si>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</si>
  <si>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</si>
  <si>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</si>
  <si>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</si>
  <si>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</si>
  <si>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</si>
  <si>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</si>
  <si>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</si>
  <si>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</si>
  <si>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</si>
  <si>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</si>
  <si>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</si>
  <si>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</si>
  <si>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</si>
  <si>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</si>
  <si>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</si>
  <si>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</si>
  <si>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</si>
  <si>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</si>
  <si>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</si>
  <si>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</si>
  <si>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</si>
  <si>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</si>
  <si>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</si>
  <si>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</si>
  <si>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</si>
  <si>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</si>
  <si>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</si>
  <si>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</si>
  <si>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</si>
  <si>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</si>
  <si>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</si>
  <si>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</si>
  <si>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</si>
  <si>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</si>
  <si>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</si>
  <si>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</si>
  <si>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</si>
  <si>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</si>
  <si>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</si>
  <si>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</si>
  <si>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</si>
  <si>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</si>
  <si>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</si>
  <si>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</si>
  <si>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</si>
  <si>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</si>
  <si>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</si>
  <si>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</si>
  <si>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</si>
  <si>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</si>
  <si>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</si>
  <si>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</si>
  <si>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</si>
  <si>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</si>
  <si>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</si>
  <si>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</si>
  <si>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</si>
  <si>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</si>
  <si>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</si>
  <si>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</si>
  <si>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</si>
  <si>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</si>
  <si>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</si>
  <si>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</si>
  <si>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</si>
  <si>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</si>
  <si>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</si>
  <si>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</si>
  <si>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</si>
  <si>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</si>
  <si>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</si>
  <si>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</si>
  <si>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</si>
  <si>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</si>
  <si>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</si>
  <si>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</si>
  <si>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</si>
  <si>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</si>
  <si>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</si>
  <si>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</si>
  <si>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</si>
  <si>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</si>
  <si>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</si>
  <si>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</si>
  <si>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</si>
  <si>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</si>
  <si>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</si>
  <si>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</si>
  <si>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</si>
  <si>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</si>
  <si>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</si>
  <si>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</si>
  <si>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</si>
  <si>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</si>
  <si>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</si>
  <si>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</si>
  <si>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</si>
  <si>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</si>
  <si>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</si>
  <si>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</si>
  <si>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</si>
  <si>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</si>
  <si>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</si>
  <si>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</si>
  <si>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</si>
  <si>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</si>
  <si>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</si>
  <si>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</si>
  <si>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</si>
  <si>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</si>
  <si>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</si>
  <si>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</si>
  <si>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</si>
  <si>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</si>
  <si>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</si>
  <si>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</si>
  <si>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</si>
  <si>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</si>
  <si>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</si>
  <si>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</si>
  <si>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</si>
  <si>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</si>
  <si>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</si>
  <si>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</si>
  <si>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</si>
  <si>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</si>
  <si>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</si>
  <si>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</si>
  <si>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</si>
  <si>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</si>
  <si>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</si>
  <si>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</si>
  <si>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</si>
  <si>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</si>
  <si>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</si>
  <si>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</si>
  <si>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</si>
  <si>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</si>
  <si>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</si>
  <si>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</si>
  <si>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</si>
  <si>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</si>
  <si>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</si>
  <si>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</si>
  <si>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</si>
  <si>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</si>
  <si>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</si>
  <si>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</si>
  <si>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</si>
  <si>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</si>
  <si>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</si>
  <si>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</si>
  <si>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</si>
  <si>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</si>
  <si>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</si>
  <si>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</si>
  <si>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</si>
  <si>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</si>
  <si>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</si>
  <si>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</si>
  <si>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</si>
  <si>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</si>
  <si>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</si>
  <si>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</si>
  <si>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</si>
  <si>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</si>
  <si>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</si>
  <si>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</si>
  <si>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</si>
  <si>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</si>
  <si>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</si>
  <si>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</si>
  <si>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</si>
  <si>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</si>
  <si>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</si>
  <si>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</si>
  <si>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</si>
  <si>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</si>
  <si>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</si>
  <si>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</si>
  <si>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</si>
  <si>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</si>
  <si>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</si>
  <si>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</si>
  <si>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</si>
  <si>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</si>
  <si>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</si>
  <si>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</si>
  <si>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</si>
  <si>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</si>
  <si>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</si>
  <si>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</si>
  <si>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</si>
  <si>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</si>
  <si>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</si>
  <si>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</si>
  <si>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</si>
  <si>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</si>
  <si>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</si>
  <si>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</si>
  <si>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</si>
  <si>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</si>
  <si>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</si>
  <si>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</si>
  <si>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</si>
  <si>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</si>
  <si>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</si>
  <si>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</si>
  <si>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</si>
  <si>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</si>
  <si>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</si>
  <si>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</si>
  <si>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</si>
  <si>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</si>
  <si>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</si>
  <si>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</si>
  <si>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</si>
  <si>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</si>
  <si>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</si>
  <si>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</si>
  <si>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</si>
  <si>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</si>
  <si>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</si>
  <si>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</si>
  <si>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</si>
  <si>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</si>
  <si>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</si>
  <si>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</si>
  <si>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</si>
  <si>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</si>
  <si>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</si>
  <si>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</si>
  <si>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</si>
  <si>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</si>
  <si>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</si>
  <si>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</si>
  <si>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</si>
  <si>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</si>
  <si>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</si>
  <si>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</si>
  <si>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</si>
  <si>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</si>
  <si>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</si>
  <si>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</si>
  <si>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</si>
  <si>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</si>
  <si>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</si>
  <si>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</si>
  <si>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</si>
  <si>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</si>
  <si>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</si>
  <si>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</si>
  <si>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</si>
  <si>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</si>
  <si>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</si>
  <si>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</si>
  <si>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</si>
  <si>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</si>
  <si>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</si>
  <si>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</si>
  <si>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</si>
  <si>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</si>
  <si>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</si>
  <si>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</si>
  <si>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</si>
  <si>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</si>
  <si>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</si>
  <si>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</si>
  <si>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</si>
  <si>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</si>
  <si>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</si>
  <si>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</si>
  <si>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</si>
  <si>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</si>
  <si>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</si>
  <si>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</si>
  <si>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</si>
  <si>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</si>
  <si>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</si>
  <si>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</si>
  <si>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</si>
  <si>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</si>
  <si>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</si>
  <si>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</si>
  <si>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</si>
  <si>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</si>
  <si>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</si>
  <si>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</si>
  <si>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</si>
  <si>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</si>
  <si>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</si>
  <si>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</si>
  <si>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</si>
  <si>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</si>
  <si>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</si>
  <si>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</si>
  <si>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</si>
  <si>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</si>
  <si>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</si>
  <si>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</si>
  <si>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</si>
  <si>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</si>
  <si>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</si>
  <si>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</si>
  <si>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</si>
  <si>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</si>
  <si>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</si>
  <si>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</si>
  <si>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</si>
  <si>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</si>
  <si>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</si>
  <si>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</si>
  <si>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</si>
  <si>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</si>
  <si>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</si>
  <si>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</si>
  <si>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</si>
  <si>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</si>
  <si>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</si>
  <si>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</si>
  <si>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</si>
  <si>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</si>
  <si>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</si>
  <si>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</si>
  <si>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</si>
  <si>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</si>
  <si>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</si>
  <si>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</si>
  <si>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</si>
  <si>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</si>
  <si>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</si>
  <si>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</si>
  <si>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</si>
  <si>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</si>
  <si>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</si>
  <si>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</si>
  <si>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</si>
  <si>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</si>
  <si>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</si>
  <si>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</si>
  <si>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</si>
  <si>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</si>
  <si>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</si>
  <si>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</si>
  <si>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</si>
  <si>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</si>
  <si>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</si>
  <si>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</si>
  <si>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</si>
  <si>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</si>
  <si>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</si>
  <si>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</si>
  <si>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</si>
  <si>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</si>
  <si>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</si>
  <si>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</si>
  <si>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</si>
  <si>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</si>
  <si>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</si>
  <si>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</si>
  <si>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</si>
  <si>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</si>
  <si>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</si>
  <si>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</si>
  <si>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</si>
  <si>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</si>
  <si>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</si>
  <si>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</si>
  <si>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</si>
  <si>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</si>
  <si>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</si>
  <si>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</si>
  <si>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</si>
  <si>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</si>
  <si>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</si>
  <si>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</si>
  <si>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</si>
  <si>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</si>
  <si>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</si>
  <si>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</si>
  <si>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</si>
  <si>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</si>
  <si>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</si>
  <si>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</si>
  <si>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</si>
  <si>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</si>
  <si>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</si>
  <si>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</si>
  <si>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</si>
  <si>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</si>
  <si>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</si>
  <si>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</si>
  <si>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</si>
  <si>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</si>
  <si>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</si>
  <si>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</si>
  <si>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</si>
  <si>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</si>
  <si>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</si>
  <si>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</si>
  <si>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</si>
  <si>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</si>
  <si>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</si>
  <si>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</si>
  <si>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</si>
  <si>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</si>
  <si>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</si>
  <si>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</si>
  <si>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</si>
  <si>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</si>
  <si>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</si>
  <si>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</si>
  <si>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</si>
  <si>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</si>
  <si>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</si>
  <si>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</si>
  <si>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</si>
  <si>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</si>
  <si>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</si>
  <si>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</si>
  <si>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</si>
  <si>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</si>
  <si>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</si>
  <si>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</si>
  <si>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</si>
  <si>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</si>
  <si>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</si>
  <si>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</si>
  <si>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</si>
  <si>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</si>
  <si>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</si>
  <si>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</si>
  <si>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</si>
  <si>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</si>
  <si>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</si>
  <si>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</si>
  <si>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</si>
  <si>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</si>
  <si>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</si>
  <si>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</si>
  <si>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</si>
  <si>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</si>
  <si>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</si>
  <si>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</si>
  <si>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</si>
  <si>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</si>
  <si>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</si>
  <si>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</si>
  <si>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</si>
  <si>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</si>
  <si>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</si>
  <si>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</si>
  <si>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</si>
  <si>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</si>
  <si>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</si>
  <si>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</si>
  <si>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</si>
  <si>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</si>
  <si>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</si>
  <si>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</si>
  <si>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</si>
  <si>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</si>
  <si>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</si>
  <si>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</si>
  <si>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</si>
  <si>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</si>
  <si>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</si>
  <si>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</si>
  <si>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</si>
  <si>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</si>
  <si>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</si>
  <si>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</si>
  <si>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</si>
  <si>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</si>
  <si>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</si>
  <si>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</si>
  <si>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</si>
  <si>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</si>
  <si>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</si>
  <si>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</si>
  <si>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</si>
  <si>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</si>
  <si>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</si>
  <si>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</si>
  <si>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</si>
  <si>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</si>
  <si>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</si>
  <si>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</si>
  <si>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</si>
  <si>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</si>
  <si>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</si>
  <si>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</si>
  <si>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</si>
  <si>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</si>
  <si>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</si>
  <si>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</si>
  <si>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</si>
  <si>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</si>
  <si>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</si>
  <si>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</si>
  <si>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</si>
  <si>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</si>
  <si>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</si>
  <si>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</si>
  <si>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</si>
  <si>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</si>
  <si>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</si>
  <si>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</si>
  <si>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</si>
  <si>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</si>
  <si>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</si>
  <si>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</si>
  <si>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</si>
  <si>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</si>
  <si>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</si>
  <si>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</si>
  <si>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</si>
  <si>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</si>
  <si>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</si>
  <si>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</si>
  <si>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</si>
  <si>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</si>
  <si>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</si>
  <si>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</si>
  <si>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</si>
  <si>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</si>
  <si>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</si>
  <si>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</si>
  <si>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</si>
  <si>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</si>
  <si>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</si>
  <si>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</si>
  <si>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</si>
  <si>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</si>
  <si>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</si>
  <si>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</si>
  <si>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</si>
  <si>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</si>
  <si>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</si>
  <si>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</si>
  <si>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</si>
  <si>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</si>
  <si>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</si>
  <si>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</si>
  <si>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</si>
  <si>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</si>
  <si>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</si>
  <si>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</si>
  <si>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</si>
  <si>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</si>
  <si>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</si>
  <si>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</si>
  <si>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</si>
  <si>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</si>
  <si>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</si>
  <si>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</si>
  <si>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</si>
  <si>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</si>
  <si>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</si>
  <si>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</si>
  <si>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</si>
  <si>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</si>
  <si>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</si>
  <si>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</si>
  <si>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</si>
  <si>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</si>
  <si>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</si>
  <si>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</si>
  <si>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</si>
  <si>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</si>
  <si>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</si>
  <si>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</si>
  <si>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</si>
  <si>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</si>
  <si>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</si>
  <si>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</si>
  <si>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</si>
  <si>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</si>
  <si>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</si>
  <si>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</si>
  <si>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</si>
  <si>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</si>
  <si>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</si>
  <si>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</si>
  <si>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</si>
  <si>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</si>
  <si>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</si>
  <si>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</si>
  <si>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</si>
  <si>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</si>
  <si>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</si>
  <si>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</si>
  <si>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</si>
  <si>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</si>
  <si>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</si>
  <si>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</si>
  <si>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</si>
  <si>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</si>
  <si>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</si>
  <si>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</si>
  <si>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</si>
  <si>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</si>
  <si>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</si>
  <si>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</si>
  <si>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</si>
  <si>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</si>
  <si>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</si>
  <si>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</si>
  <si>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</si>
  <si>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</si>
  <si>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</si>
  <si>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</si>
  <si>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</si>
  <si>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</si>
  <si>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</si>
  <si>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</si>
  <si>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</si>
  <si>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</si>
  <si>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</si>
  <si>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</si>
  <si>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</si>
  <si>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</si>
  <si>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</si>
  <si>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</si>
  <si>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</si>
  <si>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</si>
  <si>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</si>
  <si>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</si>
  <si>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</si>
  <si>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</si>
  <si>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</si>
  <si>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</si>
  <si>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</si>
  <si>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</si>
  <si>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</si>
  <si>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</si>
  <si>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</si>
  <si>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</si>
  <si>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</si>
  <si>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</si>
  <si>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</si>
  <si>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</si>
  <si>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</si>
  <si>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</si>
  <si>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</si>
  <si>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</si>
  <si>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</si>
  <si>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</si>
  <si>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</si>
  <si>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</si>
  <si>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</si>
  <si>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</si>
  <si>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</si>
  <si>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</si>
  <si>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</si>
  <si>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</si>
  <si>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</si>
  <si>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</si>
  <si>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</si>
  <si>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</si>
  <si>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</si>
  <si>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</si>
  <si>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</si>
  <si>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</si>
  <si>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</si>
  <si>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</si>
  <si>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</si>
  <si>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</si>
  <si>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</si>
  <si>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</si>
  <si>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</si>
  <si>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</si>
  <si>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</si>
  <si>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</si>
  <si>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</si>
  <si>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</si>
  <si>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</si>
  <si>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</si>
  <si>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</si>
  <si>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</si>
  <si>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</si>
  <si>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</si>
  <si>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</si>
  <si>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</si>
  <si>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</si>
  <si>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</si>
  <si>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</si>
  <si>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</si>
  <si>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</si>
  <si>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</si>
  <si>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</si>
  <si>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</si>
  <si>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</si>
  <si>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</si>
  <si>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</si>
  <si>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</si>
  <si>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</si>
  <si>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</si>
  <si>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</si>
  <si>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</si>
  <si>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</si>
  <si>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</si>
  <si>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</si>
  <si>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</si>
  <si>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</si>
  <si>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</si>
  <si>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</si>
  <si>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</si>
  <si>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</si>
  <si>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</si>
  <si>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</si>
  <si>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</si>
  <si>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</si>
  <si>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</si>
  <si>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</si>
  <si>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</si>
  <si>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</si>
  <si>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</si>
  <si>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</si>
  <si>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</si>
  <si>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</si>
  <si>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</si>
  <si>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</si>
  <si>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</si>
  <si>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</si>
  <si>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</si>
  <si>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</si>
  <si>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</si>
  <si>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</si>
  <si>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</si>
  <si>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</si>
  <si>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</si>
  <si>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</si>
  <si>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</si>
  <si>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</si>
  <si>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</si>
  <si>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</si>
  <si>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</si>
  <si>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</si>
  <si>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</si>
  <si>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</si>
  <si>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</si>
  <si>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</si>
  <si>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</si>
  <si>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</si>
  <si>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</si>
  <si>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</si>
  <si>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</si>
  <si>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</si>
  <si>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</si>
  <si>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</si>
  <si>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</si>
  <si>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</si>
  <si>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</si>
  <si>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</si>
  <si>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</si>
  <si>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</si>
  <si>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</si>
  <si>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</si>
  <si>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</si>
  <si>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</si>
  <si>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</si>
  <si>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</si>
  <si>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</si>
  <si>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</si>
  <si>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</si>
  <si>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</si>
  <si>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</si>
  <si>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</si>
  <si>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</si>
  <si>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</si>
  <si>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</si>
  <si>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</si>
  <si>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</si>
  <si>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</si>
  <si>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</si>
  <si>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</si>
  <si>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</si>
  <si>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</si>
  <si>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</si>
  <si>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</si>
  <si>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</si>
  <si>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</si>
  <si>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</si>
  <si>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</si>
  <si>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</si>
  <si>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</si>
  <si>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</si>
  <si>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</si>
  <si>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</si>
  <si>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</si>
  <si>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</si>
  <si>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</si>
  <si>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</si>
  <si>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</si>
  <si>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</si>
  <si>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</si>
  <si>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</si>
  <si>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</si>
  <si>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</si>
  <si>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</si>
  <si>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</si>
  <si>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</si>
  <si>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</si>
  <si>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</si>
  <si>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</si>
  <si>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</si>
  <si>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</si>
  <si>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</si>
  <si>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</si>
  <si>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</si>
  <si>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</si>
  <si>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</si>
  <si>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</si>
  <si>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</si>
  <si>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</si>
  <si>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</si>
  <si>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</si>
  <si>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</si>
  <si>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</si>
  <si>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</si>
  <si>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</si>
  <si>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</si>
  <si>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</si>
  <si>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</si>
  <si>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</si>
  <si>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</si>
  <si>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</si>
  <si>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</si>
  <si>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</si>
  <si>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</si>
  <si>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</si>
  <si>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</si>
  <si>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</si>
  <si>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</si>
  <si>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</si>
  <si>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</si>
  <si>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</si>
  <si>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</si>
  <si>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</si>
  <si>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</si>
  <si>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</si>
  <si>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</si>
  <si>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</si>
  <si>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</si>
  <si>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</si>
  <si>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</si>
  <si>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</si>
  <si>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</si>
  <si>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</si>
  <si>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</si>
  <si>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</si>
  <si>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</si>
  <si>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</si>
  <si>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</si>
  <si>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</si>
  <si>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</si>
  <si>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</si>
  <si>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</si>
  <si>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</si>
  <si>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</si>
  <si>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</si>
  <si>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</si>
  <si>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</si>
  <si>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</si>
  <si>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</si>
  <si>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</si>
  <si>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</si>
  <si>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</si>
  <si>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</si>
  <si>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</si>
  <si>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</si>
  <si>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</si>
  <si>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</si>
  <si>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</si>
  <si>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</si>
  <si>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</si>
  <si>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</si>
  <si>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</si>
  <si>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</si>
  <si>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</si>
  <si>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</si>
  <si>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</si>
  <si>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</si>
  <si>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</si>
  <si>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</si>
  <si>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</si>
  <si>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</si>
  <si>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</si>
  <si>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</si>
  <si>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</si>
  <si>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</si>
  <si>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</si>
  <si>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</si>
  <si>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</si>
  <si>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</si>
  <si>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</si>
  <si>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</si>
  <si>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</si>
  <si>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</si>
  <si>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</si>
  <si>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</si>
  <si>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</si>
  <si>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</si>
  <si>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</si>
  <si>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</si>
  <si>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</si>
  <si>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</si>
  <si>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</si>
  <si>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</si>
  <si>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</si>
  <si>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</si>
  <si>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</si>
  <si>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</si>
  <si>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</si>
  <si>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</si>
  <si>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</si>
  <si>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</si>
  <si>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</si>
  <si>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</si>
  <si>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</si>
  <si>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</si>
  <si>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</si>
  <si>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</si>
  <si>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</si>
  <si>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</si>
  <si>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</si>
  <si>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</si>
  <si>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</si>
  <si>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</si>
  <si>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</si>
  <si>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</si>
  <si>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</si>
  <si>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</si>
  <si>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</si>
  <si>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</si>
  <si>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</si>
  <si>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</si>
  <si>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</si>
  <si>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</si>
  <si>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</si>
  <si>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</si>
  <si>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</si>
  <si>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</si>
  <si>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</si>
  <si>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</si>
  <si>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</si>
  <si>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</si>
  <si>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</si>
  <si>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</si>
  <si>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</si>
  <si>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</si>
  <si>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</si>
  <si>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</si>
  <si>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</si>
  <si>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</si>
  <si>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</si>
  <si>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</si>
  <si>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</si>
  <si>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</si>
  <si>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</si>
  <si>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</si>
  <si>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</si>
  <si>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</si>
  <si>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</si>
  <si>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</si>
  <si>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</si>
  <si>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</si>
  <si>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</si>
  <si>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</si>
  <si>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</si>
  <si>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</si>
  <si>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</si>
  <si>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</si>
  <si>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</si>
  <si>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</si>
  <si>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</si>
  <si>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</si>
  <si>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</si>
  <si>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</si>
  <si>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</si>
  <si>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</si>
  <si>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</si>
  <si>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</si>
  <si>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</si>
  <si>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</si>
  <si>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</si>
  <si>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</si>
  <si>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</si>
  <si>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</si>
  <si>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</si>
  <si>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</si>
  <si>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</si>
  <si>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</si>
  <si>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</si>
  <si>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</si>
  <si>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</si>
  <si>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</si>
  <si>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</si>
  <si>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</si>
  <si>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</si>
  <si>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</si>
  <si>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</si>
  <si>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</si>
  <si>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</si>
  <si>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</si>
  <si>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</si>
  <si>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</si>
  <si>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</si>
  <si>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</si>
  <si>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</si>
  <si>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</si>
  <si>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</si>
  <si>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</si>
  <si>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</si>
  <si>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</si>
  <si>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</si>
  <si>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</si>
  <si>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</si>
  <si>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</si>
  <si>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</si>
  <si>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</si>
  <si>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</si>
  <si>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</si>
  <si>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</si>
  <si>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</si>
  <si>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</si>
  <si>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</si>
  <si>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</si>
  <si>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</si>
  <si>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</si>
  <si>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</si>
  <si>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</si>
  <si>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</si>
  <si>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</si>
  <si>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</si>
  <si>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</si>
  <si>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</si>
  <si>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</si>
  <si>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</si>
  <si>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</si>
  <si>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</si>
  <si>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</si>
  <si>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</si>
  <si>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</si>
  <si>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</si>
  <si>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</si>
  <si>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</si>
  <si>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</si>
  <si>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</si>
  <si>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</si>
  <si>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</si>
  <si>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</si>
  <si>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</si>
  <si>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</si>
  <si>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</si>
  <si>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</si>
  <si>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</si>
  <si>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</si>
  <si>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</si>
  <si>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</si>
  <si>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</si>
  <si>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</si>
  <si>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</si>
  <si>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</si>
  <si>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</si>
  <si>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</si>
  <si>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</si>
  <si>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</si>
  <si>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</si>
  <si>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</si>
  <si>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</si>
  <si>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</si>
  <si>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</si>
  <si>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</si>
  <si>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</si>
  <si>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</si>
  <si>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</si>
  <si>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</si>
  <si>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</si>
  <si>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</si>
  <si>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</si>
  <si>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</si>
  <si>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</si>
  <si>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</si>
  <si>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</si>
  <si>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</si>
  <si>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</si>
  <si>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</si>
  <si>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</si>
  <si>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</si>
  <si>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</si>
  <si>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</si>
  <si>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</si>
  <si>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</si>
  <si>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</si>
  <si>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</si>
  <si>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</si>
  <si>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</si>
  <si>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</si>
  <si>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</si>
  <si>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</si>
  <si>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</si>
  <si>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</si>
  <si>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</si>
  <si>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</si>
  <si>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</si>
  <si>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</si>
  <si>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</si>
  <si>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</si>
  <si>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</si>
  <si>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</si>
  <si>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</si>
  <si>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</si>
  <si>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</si>
  <si>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</si>
  <si>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</si>
  <si>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</si>
  <si>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</si>
  <si>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</si>
  <si>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</si>
  <si>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</si>
  <si>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</si>
  <si>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</si>
  <si>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</si>
  <si>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</si>
  <si>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</si>
  <si>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</si>
  <si>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</si>
  <si>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</si>
  <si>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</si>
  <si>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</si>
  <si>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</si>
  <si>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</si>
  <si>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</si>
  <si>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</si>
  <si>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</si>
  <si>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</si>
  <si>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</si>
  <si>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</si>
  <si>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</si>
  <si>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</si>
  <si>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</si>
  <si>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</si>
  <si>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</si>
  <si>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</si>
  <si>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</si>
  <si>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</si>
  <si>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</si>
  <si>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</si>
  <si>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</si>
  <si>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</si>
  <si>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</si>
  <si>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</si>
  <si>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</si>
  <si>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</si>
  <si>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</si>
  <si>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</si>
  <si>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</si>
  <si>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</si>
  <si>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</si>
  <si>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</si>
  <si>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</si>
  <si>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</si>
  <si>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</si>
  <si>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</si>
  <si>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</si>
  <si>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</si>
  <si>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</si>
  <si>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</si>
  <si>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</si>
  <si>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</si>
  <si>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</si>
  <si>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</si>
  <si>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</si>
  <si>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</si>
  <si>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</si>
  <si>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</si>
  <si>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</si>
  <si>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</si>
  <si>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</si>
  <si>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</si>
  <si>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</si>
  <si>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</si>
  <si>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</si>
  <si>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</si>
  <si>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</si>
  <si>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</si>
  <si>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</si>
  <si>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</si>
  <si>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</si>
  <si>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</si>
  <si>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</si>
  <si>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</si>
  <si>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</si>
  <si>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</si>
  <si>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</si>
  <si>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</si>
  <si>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</si>
  <si>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</si>
  <si>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</si>
  <si>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</si>
  <si>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</si>
  <si>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</si>
  <si>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</si>
  <si>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</si>
  <si>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</si>
  <si>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</si>
  <si>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</si>
  <si>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</si>
  <si>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</si>
  <si>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</si>
  <si>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</si>
  <si>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</si>
  <si>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</si>
  <si>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</si>
  <si>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</si>
  <si>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</si>
  <si>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</si>
  <si>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</si>
  <si>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</si>
  <si>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</si>
  <si>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</si>
  <si>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</si>
  <si>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</si>
  <si>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</si>
  <si>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</si>
  <si>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</si>
  <si>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</si>
  <si>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</si>
  <si>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</si>
  <si>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</si>
  <si>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</si>
  <si>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</si>
  <si>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</si>
  <si>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</si>
  <si>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</si>
  <si>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</si>
  <si>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</si>
  <si>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</si>
  <si>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</si>
  <si>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</si>
  <si>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</si>
  <si>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</si>
  <si>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</si>
  <si>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</si>
  <si>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</si>
  <si>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</si>
  <si>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</si>
  <si>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</si>
  <si>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</si>
  <si>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</si>
  <si>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</si>
  <si>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</si>
  <si>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</si>
  <si>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</si>
  <si>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</si>
  <si>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</si>
  <si>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</si>
  <si>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</si>
  <si>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</si>
  <si>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</si>
  <si>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</si>
  <si>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</si>
  <si>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</si>
  <si>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</si>
  <si>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</si>
  <si>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</si>
  <si>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</si>
  <si>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</si>
  <si>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</si>
  <si>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</si>
  <si>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</si>
  <si>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</si>
  <si>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</si>
  <si>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</si>
  <si>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</si>
  <si>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</si>
  <si>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</si>
  <si>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</si>
  <si>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</si>
  <si>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</si>
  <si>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</si>
  <si>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</si>
  <si>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</si>
  <si>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</si>
  <si>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</si>
  <si>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</si>
  <si>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</si>
  <si>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</si>
  <si>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</si>
  <si>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</si>
  <si>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</si>
  <si>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</si>
  <si>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</si>
  <si>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</si>
  <si>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</si>
  <si>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</si>
  <si>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</si>
  <si>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</si>
  <si>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</si>
  <si>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</si>
  <si>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</si>
  <si>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</si>
  <si>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</si>
  <si>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</si>
  <si>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</si>
  <si>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</si>
  <si>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</si>
  <si>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</si>
  <si>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</si>
  <si>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</si>
  <si>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</si>
  <si>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</si>
  <si>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</si>
  <si>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</si>
  <si>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</si>
  <si>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</si>
  <si>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</si>
  <si>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</si>
  <si>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</si>
  <si>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</si>
  <si>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</si>
  <si>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</si>
  <si>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</si>
  <si>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</si>
  <si>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</si>
  <si>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</si>
  <si>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</si>
  <si>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</si>
  <si>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</si>
  <si>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</si>
  <si>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</si>
  <si>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</si>
  <si>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</si>
  <si>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</si>
  <si>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</si>
  <si>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</si>
  <si>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</si>
  <si>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</si>
  <si>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</si>
  <si>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</si>
  <si>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</si>
  <si>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</si>
  <si>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</si>
  <si>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</si>
  <si>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</si>
  <si>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</si>
  <si>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</si>
  <si>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</si>
  <si>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</si>
  <si>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</si>
  <si>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</si>
  <si>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</si>
  <si>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</si>
  <si>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</si>
  <si>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</si>
  <si>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</si>
  <si>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</si>
  <si>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</si>
  <si>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</si>
  <si>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</si>
  <si>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</si>
  <si>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</si>
  <si>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</si>
  <si>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</si>
  <si>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</si>
  <si>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</si>
  <si>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</si>
  <si>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</si>
  <si>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</si>
  <si>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</si>
  <si>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</si>
  <si>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</si>
  <si>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</si>
  <si>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</si>
  <si>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</si>
  <si>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</si>
  <si>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</si>
  <si>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</si>
  <si>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</si>
  <si>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</si>
  <si>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</si>
  <si>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</si>
  <si>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</si>
  <si>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</si>
  <si>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</si>
  <si>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</si>
  <si>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</si>
  <si>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</si>
  <si>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</si>
  <si>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</si>
  <si>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</si>
  <si>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</si>
  <si>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</si>
  <si>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</si>
  <si>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</si>
  <si>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</si>
  <si>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</si>
  <si>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</si>
  <si>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</si>
  <si>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</si>
  <si>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</si>
  <si>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</si>
  <si>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</si>
  <si>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</si>
  <si>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</si>
  <si>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</si>
  <si>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</si>
  <si>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</si>
  <si>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</si>
  <si>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</si>
  <si>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</si>
  <si>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</si>
  <si>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</si>
  <si>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</si>
  <si>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</si>
  <si>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</si>
  <si>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</si>
  <si>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</si>
  <si>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</si>
  <si>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</si>
  <si>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</si>
  <si>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</si>
  <si>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</si>
  <si>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</si>
  <si>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</si>
  <si>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</si>
  <si>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</si>
  <si>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</si>
  <si>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</si>
  <si>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</si>
  <si>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</si>
  <si>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</si>
  <si>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</si>
  <si>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</si>
  <si>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</si>
  <si>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</si>
  <si>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</si>
  <si>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</si>
  <si>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</si>
  <si>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</si>
  <si>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</si>
  <si>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</si>
  <si>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</si>
  <si>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</si>
  <si>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</si>
  <si>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</si>
  <si>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</si>
  <si>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</si>
  <si>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</si>
  <si>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</si>
  <si>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</si>
  <si>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</si>
  <si>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</si>
  <si>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</si>
  <si>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</si>
  <si>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</si>
  <si>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</si>
  <si>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</si>
  <si>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</si>
  <si>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</si>
  <si>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</si>
  <si>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</si>
  <si>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</si>
  <si>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</si>
  <si>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</si>
  <si>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</si>
  <si>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</si>
  <si>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</si>
  <si>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</si>
  <si>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</si>
  <si>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</si>
  <si>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</si>
  <si>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</si>
  <si>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</si>
  <si>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</si>
  <si>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</si>
  <si>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</si>
  <si>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</si>
  <si>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</si>
  <si>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</si>
  <si>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</si>
  <si>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</si>
  <si>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</si>
  <si>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</si>
  <si>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</si>
  <si>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</si>
  <si>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</si>
  <si>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</si>
  <si>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</si>
  <si>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</si>
  <si>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</si>
  <si>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</si>
  <si>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</si>
  <si>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</si>
  <si>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</si>
  <si>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</si>
  <si>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</si>
  <si>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</si>
  <si>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</si>
  <si>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</si>
  <si>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</si>
  <si>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</si>
  <si>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</si>
  <si>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</si>
  <si>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</si>
  <si>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</si>
  <si>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</si>
  <si>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</si>
  <si>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</si>
  <si>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</si>
  <si>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</si>
  <si>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</si>
  <si>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</si>
  <si>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</si>
  <si>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</si>
  <si>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</si>
  <si>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</si>
  <si>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</si>
  <si>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</si>
  <si>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</si>
  <si>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</si>
  <si>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</si>
  <si>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</si>
  <si>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</si>
  <si>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</si>
  <si>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</si>
  <si>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</si>
  <si>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</si>
  <si>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</si>
  <si>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</si>
  <si>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</si>
  <si>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</si>
  <si>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</si>
  <si>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</si>
  <si>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</si>
  <si>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</si>
  <si>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</si>
  <si>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</si>
  <si>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</si>
  <si>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</si>
  <si>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</si>
  <si>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</si>
  <si>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</si>
  <si>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</si>
  <si>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</si>
  <si>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</si>
  <si>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</si>
  <si>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</si>
  <si>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</si>
  <si>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</si>
  <si>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</si>
  <si>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</si>
  <si>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</si>
  <si>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</si>
  <si>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</si>
  <si>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</si>
  <si>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</si>
  <si>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</si>
  <si>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</si>
  <si>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</si>
  <si>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</si>
  <si>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</si>
  <si>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</si>
  <si>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</si>
  <si>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</si>
  <si>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</si>
  <si>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</si>
  <si>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</si>
  <si>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</si>
  <si>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</si>
  <si>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</si>
  <si>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</si>
  <si>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</si>
  <si>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</si>
  <si>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</si>
  <si>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</si>
  <si>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</si>
  <si>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</si>
  <si>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</si>
  <si>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</si>
  <si>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</si>
  <si>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</si>
  <si>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</si>
  <si>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</si>
  <si>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</si>
  <si>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</si>
  <si>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</si>
  <si>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</si>
  <si>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</si>
  <si>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</si>
  <si>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</si>
  <si>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</si>
  <si>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</si>
  <si>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</si>
  <si>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</si>
  <si>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</si>
  <si>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</si>
  <si>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</si>
  <si>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</si>
  <si>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</si>
  <si>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</si>
  <si>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</si>
  <si>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</si>
  <si>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</si>
  <si>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</si>
  <si>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</si>
  <si>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</si>
  <si>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</si>
  <si>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</si>
  <si>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</si>
  <si>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</si>
  <si>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</si>
  <si>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</si>
  <si>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</si>
  <si>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</si>
  <si>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</si>
  <si>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</si>
  <si>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</si>
  <si>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</si>
  <si>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</si>
  <si>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</si>
  <si>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</si>
  <si>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</si>
  <si>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</si>
  <si>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</si>
  <si>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</si>
  <si>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</si>
  <si>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</si>
  <si>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</si>
  <si>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</si>
  <si>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</si>
  <si>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</si>
  <si>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</si>
  <si>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</si>
  <si>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</si>
  <si>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</si>
  <si>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</si>
  <si>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</si>
  <si>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</si>
  <si>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</si>
  <si>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</si>
  <si>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</si>
  <si>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</si>
  <si>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</si>
  <si>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</si>
  <si>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</si>
  <si>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</si>
  <si>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</si>
  <si>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</si>
  <si>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</si>
  <si>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</si>
  <si>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</si>
  <si>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</si>
  <si>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</si>
  <si>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</si>
  <si>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</si>
  <si>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</si>
  <si>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</si>
  <si>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</si>
  <si>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</si>
  <si>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</si>
  <si>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</si>
  <si>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</si>
  <si>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</si>
  <si>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</si>
  <si>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</si>
  <si>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</si>
  <si>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</si>
  <si>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</si>
  <si>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</si>
  <si>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</si>
  <si>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</si>
  <si>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</si>
  <si>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</si>
  <si>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</si>
  <si>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</si>
  <si>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</si>
  <si>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</si>
  <si>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</si>
  <si>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</si>
  <si>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</si>
  <si>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</si>
  <si>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</si>
  <si>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</si>
  <si>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</si>
  <si>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</si>
  <si>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</si>
  <si>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</si>
  <si>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</si>
  <si>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</si>
  <si>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</si>
  <si>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</si>
  <si>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</si>
  <si>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</si>
  <si>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</si>
  <si>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</si>
  <si>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</si>
  <si>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</si>
  <si>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</si>
  <si>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</si>
  <si>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</si>
  <si>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</si>
  <si>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</si>
  <si>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</si>
  <si>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</si>
  <si>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</si>
  <si>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</si>
  <si>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</si>
  <si>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</si>
  <si>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</si>
  <si>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</si>
  <si>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</si>
  <si>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</si>
  <si>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</si>
  <si>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</si>
  <si>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</si>
  <si>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</si>
  <si>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</si>
  <si>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</si>
  <si>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</si>
  <si>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</si>
  <si>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</si>
  <si>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</si>
  <si>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</si>
  <si>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</si>
  <si>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</si>
  <si>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</si>
  <si>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</si>
  <si>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</si>
  <si>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</si>
  <si>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</si>
  <si>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</si>
  <si>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</si>
  <si>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</si>
  <si>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</si>
  <si>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</si>
  <si>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</si>
  <si>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</si>
  <si>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</si>
  <si>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</si>
  <si>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</si>
  <si>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</si>
  <si>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</si>
  <si>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</si>
  <si>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</si>
  <si>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</si>
  <si>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</si>
  <si>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</si>
  <si>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</si>
  <si>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</si>
  <si>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</si>
  <si>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</si>
  <si>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</si>
  <si>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</si>
  <si>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</si>
  <si>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</si>
  <si>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</si>
  <si>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</si>
  <si>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</si>
  <si>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</si>
  <si>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</si>
  <si>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</si>
  <si>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</si>
  <si>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</si>
  <si>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</si>
  <si>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</si>
  <si>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</si>
  <si>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</si>
  <si>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</si>
  <si>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</si>
  <si>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</si>
  <si>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</si>
  <si>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</si>
  <si>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</si>
  <si>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</si>
  <si>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</si>
  <si>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</si>
  <si>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</si>
  <si>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</si>
  <si>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</si>
  <si>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</si>
  <si>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</si>
  <si>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</si>
  <si>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</si>
  <si>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</si>
  <si>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</si>
  <si>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</si>
  <si>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</si>
  <si>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</si>
  <si>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</si>
  <si>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</si>
  <si>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</si>
  <si>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</si>
  <si>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</si>
  <si>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</si>
  <si>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</si>
  <si>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</si>
  <si>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</si>
  <si>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</si>
  <si>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</si>
  <si>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</si>
  <si>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</si>
  <si>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</si>
  <si>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</si>
  <si>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</si>
  <si>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</si>
  <si>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</si>
  <si>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</si>
  <si>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</si>
  <si>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</si>
  <si>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</si>
  <si>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</si>
  <si>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</si>
  <si>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</si>
  <si>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</si>
  <si>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</si>
  <si>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</si>
  <si>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</si>
  <si>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</si>
  <si>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</si>
  <si>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</si>
  <si>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</si>
  <si>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</si>
  <si>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</si>
  <si>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</si>
  <si>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</si>
  <si>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</si>
  <si>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</si>
  <si>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</si>
  <si>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</si>
  <si>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</si>
  <si>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</si>
  <si>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</si>
  <si>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</si>
  <si>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</si>
  <si>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</si>
  <si>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</si>
  <si>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</si>
  <si>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</si>
  <si>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</si>
  <si>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</si>
  <si>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</si>
  <si>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</si>
  <si>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</si>
  <si>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</si>
  <si>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</si>
  <si>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</si>
  <si>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</si>
  <si>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</si>
  <si>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</si>
  <si>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</si>
  <si>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</si>
  <si>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</si>
  <si>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</si>
  <si>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</si>
  <si>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</si>
  <si>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</si>
  <si>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</si>
  <si>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</si>
  <si>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</si>
  <si>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</si>
  <si>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</si>
  <si>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</si>
  <si>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</si>
  <si>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</si>
  <si>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</si>
  <si>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</si>
  <si>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</si>
  <si>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</si>
  <si>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</si>
  <si>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</si>
  <si>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</si>
  <si>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</si>
  <si>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</si>
  <si>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</si>
  <si>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</si>
  <si>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</si>
  <si>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</si>
  <si>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</si>
  <si>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</si>
  <si>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</si>
  <si>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</si>
  <si>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</si>
  <si>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</si>
  <si>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</si>
  <si>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</si>
  <si>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</si>
  <si>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</si>
  <si>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</si>
  <si>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</si>
  <si>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</si>
  <si>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</si>
  <si>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</si>
  <si>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</si>
  <si>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</si>
  <si>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</si>
  <si>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</si>
  <si>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</si>
  <si>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</si>
  <si>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</si>
  <si>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</si>
  <si>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</si>
  <si>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</si>
  <si>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</si>
  <si>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</si>
  <si>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</si>
  <si>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</si>
  <si>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</si>
  <si>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</si>
  <si>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</si>
  <si>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</si>
  <si>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</si>
  <si>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</si>
  <si>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</si>
  <si>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</si>
  <si>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</si>
  <si>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</si>
  <si>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</si>
  <si>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</si>
  <si>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</si>
  <si>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</si>
  <si>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</si>
  <si>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</si>
  <si>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</si>
  <si>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</si>
  <si>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</si>
  <si>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</si>
  <si>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</si>
  <si>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</si>
  <si>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</si>
  <si>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</si>
  <si>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</si>
  <si>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</si>
  <si>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</si>
  <si>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</si>
  <si>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</si>
  <si>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</si>
  <si>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</si>
  <si>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</si>
  <si>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</si>
  <si>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</si>
  <si>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</si>
  <si>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</si>
  <si>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</si>
  <si>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</si>
  <si>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</si>
  <si>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</si>
  <si>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</si>
  <si>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</si>
  <si>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</si>
  <si>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</si>
  <si>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</si>
  <si>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</si>
  <si>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</si>
  <si>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</si>
  <si>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</si>
  <si>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</si>
  <si>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</si>
  <si>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</si>
  <si>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</si>
  <si>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</si>
  <si>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</si>
  <si>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</si>
  <si>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</si>
  <si>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</si>
  <si>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</si>
  <si>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</si>
  <si>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</si>
  <si>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</si>
  <si>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</si>
  <si>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</si>
  <si>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</si>
  <si>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</si>
  <si>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</si>
  <si>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</si>
  <si>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</si>
  <si>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</si>
  <si>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</si>
  <si>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</si>
  <si>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</si>
  <si>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</si>
  <si>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</si>
  <si>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</si>
  <si>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</si>
  <si>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</si>
  <si>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</si>
  <si>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</si>
  <si>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</si>
  <si>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</si>
  <si>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</si>
  <si>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</si>
  <si>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</si>
  <si>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</si>
  <si>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</si>
  <si>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</si>
  <si>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</si>
  <si>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</si>
  <si>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</si>
  <si>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</si>
  <si>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</si>
  <si>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</si>
  <si>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</si>
  <si>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</si>
  <si>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</si>
  <si>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</si>
  <si>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</si>
  <si>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</si>
  <si>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</si>
  <si>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</si>
  <si>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</si>
  <si>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</si>
  <si>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</si>
  <si>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</si>
  <si>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</si>
  <si>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</si>
  <si>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</si>
  <si>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</si>
  <si>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</si>
  <si>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</si>
  <si>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</si>
  <si>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</si>
  <si>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</si>
  <si>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</si>
  <si>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</si>
  <si>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</si>
  <si>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</si>
  <si>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</si>
  <si>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</si>
  <si>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</si>
  <si>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</si>
  <si>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</si>
  <si>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</si>
  <si>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</si>
  <si>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</si>
  <si>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</si>
  <si>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</si>
  <si>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</si>
  <si>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</si>
  <si>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</si>
  <si>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</si>
  <si>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</si>
  <si>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</si>
  <si>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</si>
  <si>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</si>
  <si>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</si>
  <si>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</si>
  <si>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</si>
  <si>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</si>
  <si>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</si>
  <si>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</si>
  <si>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</si>
  <si>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</si>
  <si>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</si>
  <si>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</si>
  <si>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</si>
  <si>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</si>
  <si>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</si>
  <si>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</si>
  <si>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</si>
  <si>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</si>
  <si>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</si>
  <si>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</si>
  <si>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</si>
  <si>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</si>
  <si>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</si>
  <si>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</si>
  <si>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</si>
  <si>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</si>
  <si>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</si>
  <si>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</si>
  <si>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</si>
  <si>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</si>
  <si>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</si>
  <si>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</si>
  <si>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</si>
  <si>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</si>
  <si>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</si>
  <si>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</si>
  <si>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</si>
  <si>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</si>
  <si>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</si>
  <si>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</si>
  <si>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</si>
  <si>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</si>
  <si>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</si>
  <si>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</si>
  <si>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</si>
  <si>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</si>
  <si>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</si>
  <si>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</si>
  <si>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</si>
  <si>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</si>
  <si>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</si>
  <si>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</si>
  <si>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</si>
  <si>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</si>
  <si>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</si>
  <si>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</si>
  <si>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</si>
  <si>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</si>
  <si>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</si>
  <si>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</si>
  <si>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</si>
  <si>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</si>
  <si>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</si>
  <si>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</si>
  <si>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</si>
  <si>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</si>
  <si>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</si>
  <si>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</si>
  <si>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</si>
  <si>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</si>
  <si>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</si>
  <si>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</si>
  <si>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</si>
  <si>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</si>
  <si>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</si>
  <si>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</si>
  <si>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</si>
  <si>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</si>
  <si>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</si>
  <si>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</si>
  <si>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</si>
  <si>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</si>
  <si>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</si>
  <si>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</si>
  <si>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</si>
  <si>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</si>
  <si>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</si>
  <si>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</si>
  <si>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</si>
  <si>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</si>
  <si>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</si>
  <si>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</si>
  <si>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</si>
  <si>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</si>
  <si>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</si>
  <si>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</si>
  <si>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</si>
  <si>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</si>
  <si>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</si>
  <si>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</si>
  <si>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</si>
  <si>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</si>
  <si>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</si>
  <si>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</si>
  <si>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</si>
  <si>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</si>
  <si>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</si>
  <si>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</si>
  <si>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</si>
  <si>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</si>
  <si>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</si>
  <si>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</si>
  <si>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</si>
  <si>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</si>
  <si>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</si>
  <si>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</si>
  <si>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</si>
  <si>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</si>
  <si>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</si>
  <si>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</si>
  <si>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</si>
  <si>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</si>
  <si>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</si>
  <si>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</si>
  <si>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</si>
  <si>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</si>
  <si>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</si>
  <si>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</si>
  <si>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</si>
  <si>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</si>
  <si>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</si>
  <si>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</si>
  <si>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</si>
  <si>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</si>
  <si>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</si>
  <si>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</si>
  <si>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</si>
  <si>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</si>
  <si>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</si>
  <si>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</si>
  <si>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</si>
  <si>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</si>
  <si>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</si>
  <si>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</si>
  <si>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</si>
  <si>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</si>
  <si>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</si>
  <si>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</si>
  <si>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</si>
  <si>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</si>
  <si>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</si>
  <si>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</si>
  <si>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</si>
  <si>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</si>
  <si>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</si>
  <si>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</si>
  <si>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</si>
  <si>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</si>
  <si>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</si>
  <si>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</si>
  <si>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</si>
  <si>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</si>
  <si>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</si>
  <si>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</si>
  <si>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</si>
  <si>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</si>
  <si>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</si>
  <si>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</si>
  <si>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</si>
  <si>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</si>
  <si>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</si>
  <si>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</si>
  <si>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</si>
  <si>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</si>
  <si>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</si>
  <si>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</si>
  <si>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</si>
  <si>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</si>
  <si>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</si>
  <si>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</si>
  <si>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</si>
  <si>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</si>
  <si>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</si>
  <si>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</si>
  <si>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</si>
  <si>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</si>
  <si>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</si>
  <si>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</si>
  <si>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</si>
  <si>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</si>
  <si>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</si>
  <si>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</si>
  <si>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</si>
  <si>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</si>
  <si>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</si>
  <si>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</si>
  <si>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</si>
  <si>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</si>
  <si>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</si>
  <si>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</si>
  <si>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</si>
  <si>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</si>
  <si>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</si>
  <si>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</si>
  <si>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</si>
  <si>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</si>
  <si>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</si>
  <si>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</si>
  <si>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</si>
  <si>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</si>
  <si>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</si>
  <si>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</si>
  <si>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</si>
  <si>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</si>
  <si>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</si>
  <si>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</si>
  <si>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</si>
  <si>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</si>
  <si>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</si>
  <si>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</si>
  <si>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</si>
  <si>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</si>
  <si>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</si>
  <si>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</si>
  <si>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</si>
  <si>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</si>
  <si>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</si>
  <si>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</si>
  <si>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</si>
  <si>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</si>
  <si>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</si>
  <si>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</si>
  <si>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</si>
  <si>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</si>
  <si>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</si>
  <si>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</si>
  <si>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</si>
  <si>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</si>
  <si>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</si>
  <si>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</si>
  <si>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</si>
  <si>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</si>
  <si>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</si>
  <si>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</si>
  <si>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</si>
  <si>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</si>
  <si>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</si>
  <si>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</si>
  <si>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</si>
  <si>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</si>
  <si>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</si>
  <si>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</si>
  <si>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</si>
  <si>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</si>
  <si>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</si>
  <si>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</si>
  <si>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</si>
  <si>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</si>
  <si>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</si>
  <si>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</si>
  <si>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</si>
  <si>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</si>
  <si>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</si>
  <si>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</si>
  <si>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</si>
  <si>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</si>
  <si>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</si>
  <si>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</si>
  <si>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</si>
  <si>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</si>
  <si>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</si>
  <si>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</si>
  <si>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</si>
  <si>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</si>
  <si>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</si>
  <si>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</si>
  <si>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</si>
  <si>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</si>
  <si>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</si>
  <si>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</si>
  <si>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</si>
  <si>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</si>
  <si>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</si>
  <si>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</si>
  <si>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</si>
  <si>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</si>
  <si>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</si>
  <si>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</si>
  <si>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</si>
  <si>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</si>
  <si>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</si>
  <si>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</si>
  <si>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</si>
  <si>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</si>
  <si>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</si>
  <si>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</si>
  <si>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</si>
  <si>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</si>
  <si>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</si>
  <si>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</si>
  <si>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</si>
  <si>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</si>
  <si>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</si>
  <si>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</si>
  <si>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</si>
  <si>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</si>
  <si>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</si>
  <si>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</si>
  <si>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</si>
  <si>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</si>
  <si>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</si>
  <si>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</si>
  <si>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</si>
  <si>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</si>
  <si>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</si>
  <si>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</si>
  <si>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</si>
  <si>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</si>
  <si>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</si>
  <si>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</si>
  <si>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</si>
  <si>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</si>
  <si>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</si>
  <si>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</si>
  <si>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</si>
  <si>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</si>
  <si>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</si>
  <si>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</si>
  <si>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</si>
  <si>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</si>
  <si>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</si>
  <si>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</si>
  <si>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</si>
  <si>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</si>
  <si>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</si>
  <si>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</si>
  <si>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</si>
  <si>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</si>
  <si>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</si>
  <si>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</si>
  <si>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</si>
  <si>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</si>
  <si>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</si>
  <si>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</si>
  <si>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</si>
  <si>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</si>
  <si>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</si>
  <si>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</si>
  <si>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</si>
  <si>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</si>
  <si>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</si>
  <si>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</si>
  <si>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</si>
  <si>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</si>
  <si>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</si>
  <si>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</si>
  <si>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</si>
  <si>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</si>
  <si>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</si>
  <si>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</si>
  <si>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</si>
  <si>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</si>
  <si>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</si>
  <si>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</si>
  <si>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</si>
  <si>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</si>
  <si>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</si>
  <si>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</si>
  <si>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</si>
  <si>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</si>
  <si>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</si>
  <si>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</si>
  <si>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</si>
  <si>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</si>
  <si>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</si>
  <si>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</si>
  <si>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</si>
  <si>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</si>
  <si>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</si>
  <si>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</si>
  <si>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</si>
  <si>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</si>
  <si>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</si>
  <si>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</si>
  <si>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</si>
  <si>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</si>
  <si>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</si>
  <si>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</si>
  <si>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</si>
  <si>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</si>
  <si>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</si>
  <si>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</si>
  <si>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</si>
  <si>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</si>
  <si>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</si>
  <si>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</si>
  <si>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</si>
  <si>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</si>
  <si>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</si>
  <si>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</si>
  <si>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</si>
  <si>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</si>
  <si>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</si>
  <si>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</si>
  <si>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</si>
  <si>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</si>
  <si>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</si>
  <si>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</si>
  <si>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</si>
  <si>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</si>
  <si>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</si>
  <si>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</si>
  <si>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</si>
  <si>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</si>
  <si>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</si>
  <si>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</si>
  <si>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</si>
  <si>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</si>
  <si>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</si>
  <si>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</si>
  <si>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</si>
  <si>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</si>
  <si>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</si>
  <si>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</si>
  <si>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</si>
  <si>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</si>
  <si>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</si>
  <si>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</si>
  <si>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</si>
  <si>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</si>
  <si>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</si>
  <si>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</si>
  <si>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</si>
  <si>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</si>
  <si>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</si>
  <si>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</si>
  <si>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</si>
  <si>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</si>
  <si>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</si>
  <si>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</si>
  <si>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</si>
  <si>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</si>
  <si>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</si>
  <si>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</si>
  <si>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</si>
  <si>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</si>
  <si>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</si>
  <si>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</si>
  <si>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</si>
  <si>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</si>
  <si>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</si>
  <si>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</si>
  <si>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</si>
  <si>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</si>
  <si>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</si>
  <si>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</si>
  <si>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</si>
  <si>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</si>
  <si>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</si>
  <si>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</si>
  <si>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</si>
  <si>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</si>
  <si>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</si>
  <si>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</si>
  <si>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</si>
  <si>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</si>
  <si>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</si>
  <si>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</si>
  <si>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</si>
  <si>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</si>
  <si>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</si>
  <si>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</si>
  <si>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</si>
  <si>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</si>
  <si>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</si>
  <si>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</si>
  <si>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</si>
  <si>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</si>
  <si>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</si>
  <si>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</si>
  <si>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</si>
  <si>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</si>
  <si>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</si>
  <si>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</si>
  <si>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</si>
  <si>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</si>
  <si>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</si>
  <si>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</si>
  <si>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</si>
  <si>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</si>
  <si>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</si>
  <si>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</si>
  <si>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</si>
  <si>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</si>
  <si>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</si>
  <si>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</si>
  <si>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</si>
  <si>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</si>
  <si>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</si>
  <si>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</si>
  <si>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</si>
  <si>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</si>
  <si>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</si>
  <si>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</si>
  <si>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</si>
  <si>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</si>
  <si>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</si>
  <si>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</si>
  <si>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</si>
  <si>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</si>
  <si>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</si>
  <si>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</si>
  <si>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</si>
  <si>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</si>
  <si>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</si>
  <si>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</si>
  <si>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</si>
  <si>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</si>
  <si>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</si>
  <si>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</si>
  <si>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</si>
  <si>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</si>
  <si>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</si>
  <si>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</si>
  <si>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</si>
  <si>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</si>
  <si>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</si>
  <si>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</si>
  <si>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</si>
  <si>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</si>
  <si>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</si>
  <si>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</si>
  <si>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</si>
  <si>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</si>
  <si>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</si>
  <si>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</si>
  <si>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</si>
  <si>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</si>
  <si>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</si>
  <si>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</si>
  <si>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</si>
  <si>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</si>
  <si>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</si>
  <si>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</si>
  <si>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</si>
  <si>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</si>
  <si>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</si>
  <si>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</si>
  <si>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</si>
  <si>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</si>
  <si>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</si>
  <si>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</si>
  <si>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</si>
  <si>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</si>
  <si>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</si>
  <si>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</si>
  <si>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</si>
  <si>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</si>
  <si>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</si>
  <si>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</si>
  <si>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</si>
  <si>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</si>
  <si>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</si>
  <si>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</si>
  <si>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</si>
  <si>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</si>
  <si>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</si>
  <si>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</si>
  <si>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</si>
  <si>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</si>
  <si>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</si>
  <si>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</si>
  <si>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</si>
  <si>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</si>
  <si>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</si>
  <si>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</si>
  <si>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</si>
  <si>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</si>
  <si>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</si>
  <si>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</si>
  <si>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</si>
  <si>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</si>
  <si>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</si>
  <si>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</si>
  <si>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</si>
  <si>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</si>
  <si>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</si>
  <si>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</si>
  <si>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</si>
  <si>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</si>
  <si>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</si>
  <si>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</si>
  <si>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</si>
  <si>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</si>
  <si>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</si>
  <si>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</si>
  <si>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</si>
  <si>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</si>
  <si>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</si>
  <si>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</si>
  <si>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</si>
  <si>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</si>
  <si>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</si>
  <si>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</si>
  <si>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</si>
  <si>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</si>
  <si>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</si>
  <si>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</si>
  <si>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</si>
  <si>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</si>
  <si>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</si>
  <si>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</si>
  <si>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</si>
  <si>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</si>
  <si>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</si>
  <si>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</si>
  <si>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</si>
  <si>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</si>
  <si>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</si>
  <si>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</si>
  <si>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</si>
  <si>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</si>
  <si>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</si>
  <si>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</si>
  <si>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</si>
  <si>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</si>
  <si>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</si>
  <si>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</si>
  <si>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</si>
  <si>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</si>
  <si>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</si>
  <si>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</si>
  <si>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</si>
  <si>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</si>
  <si>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</si>
  <si>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</si>
  <si>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</si>
  <si>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</si>
  <si>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</si>
  <si>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</si>
  <si>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</si>
  <si>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</si>
  <si>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</si>
  <si>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</si>
  <si>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</si>
  <si>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</si>
  <si>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</si>
  <si>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</si>
  <si>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</si>
  <si>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</si>
  <si>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</si>
  <si>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</si>
  <si>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</si>
  <si>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</si>
  <si>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</si>
  <si>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</si>
  <si>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</si>
  <si>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</si>
  <si>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</si>
  <si>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</si>
  <si>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</si>
  <si>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</si>
  <si>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</si>
  <si>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</si>
  <si>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</si>
  <si>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</si>
  <si>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</si>
  <si>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</si>
  <si>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</si>
  <si>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</si>
  <si>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</si>
  <si>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</si>
  <si>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</si>
  <si>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</si>
  <si>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</si>
  <si>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</si>
  <si>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</si>
  <si>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</si>
  <si>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</si>
  <si>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</si>
  <si>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</si>
  <si>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</si>
  <si>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</si>
  <si>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</si>
  <si>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</si>
  <si>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</si>
  <si>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</si>
  <si>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</si>
  <si>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</si>
  <si>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</si>
  <si>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</si>
  <si>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</si>
  <si>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</si>
  <si>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</si>
  <si>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</si>
  <si>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</si>
  <si>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</si>
  <si>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</si>
  <si>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</si>
  <si>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</si>
  <si>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</si>
  <si>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</si>
  <si>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</si>
  <si>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</si>
  <si>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</si>
  <si>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</si>
  <si>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</si>
  <si>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</si>
  <si>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</si>
  <si>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</si>
  <si>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</si>
  <si>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</si>
  <si>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</si>
  <si>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</si>
  <si>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</si>
  <si>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</si>
  <si>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</si>
  <si>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</si>
  <si>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</si>
  <si>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</si>
  <si>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</si>
  <si>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</si>
  <si>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</si>
  <si>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</si>
  <si>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</si>
  <si>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</si>
  <si>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</si>
  <si>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</si>
  <si>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</si>
  <si>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</si>
  <si>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</si>
  <si>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</si>
  <si>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</si>
  <si>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</si>
  <si>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</si>
  <si>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</si>
  <si>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</si>
  <si>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</si>
  <si>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</si>
  <si>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</si>
  <si>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</si>
  <si>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</si>
  <si>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</si>
  <si>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</si>
  <si>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</si>
  <si>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</si>
  <si>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</si>
  <si>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</si>
  <si>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</si>
  <si>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</si>
  <si>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</si>
  <si>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</si>
  <si>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</si>
  <si>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</si>
  <si>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</si>
  <si>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</si>
  <si>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</si>
  <si>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</si>
  <si>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</si>
  <si>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</si>
  <si>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</si>
  <si>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</si>
  <si>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</si>
  <si>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</si>
  <si>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</si>
  <si>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</si>
  <si>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</si>
  <si>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</si>
  <si>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</si>
  <si>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</si>
  <si>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</si>
  <si>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</si>
  <si>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</si>
  <si>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</si>
  <si>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</si>
  <si>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</si>
  <si>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</si>
  <si>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</si>
  <si>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</si>
  <si>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</si>
  <si>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</si>
  <si>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</si>
  <si>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</si>
  <si>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</si>
  <si>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</si>
  <si>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</si>
  <si>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</si>
  <si>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</si>
  <si>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</si>
  <si>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</si>
  <si>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</si>
  <si>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</si>
  <si>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</si>
  <si>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</si>
  <si>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</si>
  <si>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</si>
  <si>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</si>
  <si>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</si>
  <si>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</si>
  <si>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</si>
  <si>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</si>
  <si>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</si>
  <si>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</si>
  <si>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</si>
  <si>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</si>
  <si>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</si>
  <si>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</si>
  <si>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</si>
  <si>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</si>
  <si>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</si>
  <si>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</si>
  <si>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</si>
  <si>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</si>
  <si>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</si>
  <si>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</si>
  <si>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</si>
  <si>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</si>
  <si>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</si>
  <si>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</si>
  <si>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</si>
  <si>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</si>
  <si>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</si>
  <si>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</si>
  <si>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</si>
  <si>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</si>
  <si>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</si>
  <si>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</si>
  <si>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</si>
  <si>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</si>
  <si>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</si>
  <si>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</si>
  <si>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</si>
  <si>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</si>
  <si>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</si>
  <si>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</si>
  <si>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</si>
  <si>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</si>
  <si>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</si>
  <si>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</si>
  <si>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</si>
  <si>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</si>
  <si>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</si>
  <si>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</si>
  <si>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</si>
  <si>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</si>
  <si>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</si>
  <si>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</si>
  <si>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</si>
  <si>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</si>
  <si>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</si>
  <si>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</si>
  <si>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</si>
  <si>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</si>
  <si>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</si>
  <si>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</si>
  <si>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</si>
  <si>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</si>
  <si>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</si>
  <si>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</si>
  <si>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</si>
  <si>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</si>
  <si>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</si>
  <si>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</si>
  <si>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</si>
  <si>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</si>
  <si>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</si>
  <si>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</si>
  <si>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</si>
  <si>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</si>
  <si>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</si>
  <si>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</si>
  <si>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</si>
  <si>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</si>
  <si>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</si>
  <si>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</si>
  <si>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</si>
  <si>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</si>
  <si>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</si>
  <si>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</si>
  <si>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</si>
  <si>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</si>
  <si>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</si>
  <si>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</si>
  <si>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</si>
  <si>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</si>
  <si>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</si>
  <si>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</si>
  <si>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</si>
  <si>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</si>
  <si>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</si>
  <si>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</si>
  <si>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</si>
  <si>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</si>
  <si>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</si>
  <si>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</si>
  <si>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</si>
  <si>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</si>
  <si>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</si>
  <si>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</si>
  <si>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</si>
  <si>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</si>
  <si>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</si>
  <si>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</si>
  <si>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</si>
  <si>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</si>
  <si>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</si>
  <si>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</si>
  <si>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</si>
  <si>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</si>
  <si>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</si>
  <si>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</si>
  <si>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</si>
  <si>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</si>
  <si>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</si>
  <si>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</si>
  <si>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</si>
  <si>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</si>
  <si>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</si>
  <si>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</si>
  <si>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</si>
  <si>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</si>
  <si>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</si>
  <si>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</si>
  <si>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</si>
  <si>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</si>
  <si>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</si>
  <si>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</si>
  <si>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</si>
  <si>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</si>
  <si>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</si>
  <si>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</si>
  <si>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</si>
  <si>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</si>
  <si>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</si>
  <si>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</si>
  <si>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</si>
  <si>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</si>
  <si>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</si>
  <si>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</si>
  <si>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</si>
  <si>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</si>
  <si>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</si>
  <si>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</si>
  <si>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</si>
  <si>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</si>
  <si>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</si>
  <si>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</si>
  <si>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</si>
  <si>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</si>
  <si>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</si>
  <si>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</si>
  <si>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</si>
  <si>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</si>
  <si>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</si>
  <si>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</si>
  <si>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</si>
  <si>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</si>
  <si>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</si>
  <si>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</si>
  <si>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</si>
  <si>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</si>
  <si>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</si>
  <si>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</si>
  <si>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</si>
  <si>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</si>
  <si>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</si>
  <si>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</si>
  <si>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</si>
  <si>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</si>
  <si>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</si>
  <si>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</si>
  <si>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</si>
  <si>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</si>
  <si>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</si>
  <si>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</si>
  <si>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</si>
  <si>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</si>
  <si>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</si>
  <si>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</si>
  <si>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</si>
  <si>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</si>
  <si>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</si>
  <si>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</si>
  <si>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</si>
  <si>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</si>
  <si>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</si>
  <si>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</si>
  <si>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</si>
  <si>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</si>
  <si>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</si>
  <si>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</si>
  <si>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</si>
  <si>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</si>
  <si>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</si>
  <si>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</si>
  <si>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</si>
  <si>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</si>
  <si>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</si>
  <si>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</si>
  <si>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</si>
  <si>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</si>
  <si>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</si>
  <si>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</si>
  <si>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</si>
  <si>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</si>
  <si>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</si>
  <si>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</si>
  <si>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</si>
  <si>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</si>
  <si>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</si>
  <si>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</si>
  <si>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</si>
  <si>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</si>
  <si>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</si>
  <si>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</si>
  <si>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</si>
  <si>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</si>
  <si>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</si>
  <si>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</si>
  <si>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</si>
  <si>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</si>
  <si>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</si>
  <si>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</si>
  <si>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</si>
  <si>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</si>
  <si>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</si>
  <si>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</si>
  <si>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</si>
  <si>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</si>
  <si>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</si>
  <si>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</si>
  <si>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</si>
  <si>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</si>
  <si>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</si>
  <si>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</si>
  <si>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</si>
  <si>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</si>
  <si>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</si>
  <si>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</si>
  <si>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</si>
  <si>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</si>
  <si>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</si>
  <si>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</si>
  <si>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</si>
  <si>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</si>
  <si>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</si>
  <si>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</si>
  <si>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</si>
  <si>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</si>
  <si>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</si>
  <si>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</si>
  <si>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</si>
  <si>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</si>
  <si>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</si>
  <si>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</si>
  <si>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</si>
  <si>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</si>
  <si>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</si>
  <si>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</si>
  <si>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</si>
  <si>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</si>
  <si>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</si>
  <si>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</si>
  <si>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</si>
  <si>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</si>
  <si>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</si>
  <si>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</si>
  <si>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</si>
  <si>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</si>
  <si>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</si>
  <si>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</si>
  <si>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</si>
  <si>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</si>
  <si>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</si>
  <si>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</si>
  <si>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</si>
  <si>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</si>
  <si>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</si>
  <si>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</si>
  <si>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</si>
  <si>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</si>
  <si>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</si>
  <si>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</si>
  <si>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</si>
  <si>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</si>
  <si>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</si>
  <si>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</si>
  <si>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</si>
  <si>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</si>
  <si>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</si>
  <si>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</si>
  <si>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</si>
  <si>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</si>
  <si>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</si>
  <si>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</si>
  <si>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</si>
  <si>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</si>
  <si>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</si>
  <si>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</si>
  <si>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</si>
  <si>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</si>
  <si>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</si>
  <si>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</si>
  <si>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</si>
  <si>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</si>
  <si>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</si>
  <si>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</si>
  <si>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</si>
  <si>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</si>
  <si>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</si>
  <si>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</si>
  <si>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</si>
  <si>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</si>
  <si>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</si>
  <si>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</si>
  <si>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</si>
  <si>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</si>
  <si>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</si>
  <si>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</si>
  <si>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</si>
  <si>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</si>
  <si>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</si>
  <si>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</si>
  <si>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</si>
  <si>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</si>
  <si>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</si>
  <si>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</si>
  <si>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</si>
  <si>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</si>
  <si>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</si>
  <si>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</si>
  <si>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</si>
  <si>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</si>
  <si>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</si>
  <si>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</si>
  <si>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</si>
  <si>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</si>
  <si>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</si>
  <si>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</si>
  <si>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</si>
  <si>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</si>
  <si>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</si>
  <si>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</si>
  <si>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</si>
  <si>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</si>
  <si>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</si>
  <si>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</si>
  <si>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</si>
  <si>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</si>
  <si>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</si>
  <si>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</si>
  <si>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</si>
  <si>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</si>
  <si>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</si>
  <si>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</si>
  <si>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</si>
  <si>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</si>
  <si>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</si>
  <si>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</si>
  <si>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</si>
  <si>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</si>
  <si>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</si>
  <si>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</si>
  <si>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</si>
  <si>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</si>
  <si>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</si>
  <si>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</si>
  <si>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</si>
  <si>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</si>
  <si>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</si>
  <si>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</si>
  <si>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</si>
  <si>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</si>
  <si>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</si>
  <si>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</si>
  <si>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</si>
  <si>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</si>
  <si>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</si>
  <si>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</si>
  <si>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</si>
  <si>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</si>
  <si>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</si>
  <si>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</si>
  <si>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</si>
  <si>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</si>
  <si>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</si>
  <si>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</si>
  <si>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</si>
  <si>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</si>
  <si>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</si>
  <si>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</si>
  <si>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</si>
  <si>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</si>
  <si>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</si>
  <si>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</si>
  <si>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</si>
  <si>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</si>
  <si>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</si>
  <si>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</si>
  <si>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</si>
  <si>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</si>
  <si>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</si>
  <si>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</si>
  <si>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</si>
  <si>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</si>
  <si>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</si>
  <si>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</si>
  <si>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</si>
  <si>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</si>
  <si>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</si>
  <si>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</si>
  <si>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</si>
  <si>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</si>
  <si>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</si>
  <si>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</si>
  <si>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</si>
  <si>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</si>
  <si>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</si>
  <si>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</si>
  <si>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</si>
  <si>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</si>
  <si>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</si>
  <si>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</si>
  <si>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</si>
  <si>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</si>
  <si>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</si>
  <si>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</si>
  <si>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</si>
  <si>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</si>
  <si>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</si>
  <si>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</si>
  <si>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</si>
  <si>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</si>
  <si>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</si>
  <si>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</si>
  <si>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</si>
  <si>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</si>
  <si>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</si>
  <si>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</si>
  <si>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</si>
  <si>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</si>
  <si>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</si>
  <si>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</si>
  <si>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</si>
  <si>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</si>
  <si>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</si>
  <si>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</si>
  <si>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</si>
  <si>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</si>
  <si>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</si>
  <si>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</si>
  <si>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</si>
  <si>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</si>
  <si>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</si>
  <si>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</si>
  <si>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</si>
  <si>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</si>
  <si>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</si>
  <si>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</si>
  <si>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</si>
  <si>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</si>
  <si>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</si>
  <si>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</si>
  <si>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</si>
  <si>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</si>
  <si>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</si>
  <si>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</si>
  <si>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</si>
  <si>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</si>
  <si>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</si>
  <si>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</si>
  <si>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</si>
  <si>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</si>
  <si>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</si>
  <si>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</si>
  <si>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</si>
  <si>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</si>
  <si>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</si>
  <si>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</si>
  <si>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</si>
  <si>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</si>
  <si>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</si>
  <si>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</si>
  <si>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</si>
  <si>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</si>
  <si>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</si>
  <si>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</si>
  <si>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</si>
  <si>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</si>
  <si>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</si>
  <si>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</si>
  <si>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</si>
  <si>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</si>
  <si>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</si>
  <si>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</si>
  <si>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</si>
  <si>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</si>
  <si>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</si>
  <si>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</si>
  <si>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</si>
  <si>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</si>
  <si>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</si>
  <si>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</si>
  <si>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</si>
  <si>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</si>
  <si>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</si>
  <si>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</si>
  <si>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</si>
  <si>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</si>
  <si>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</si>
  <si>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</si>
  <si>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</si>
  <si>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</si>
  <si>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</si>
  <si>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</si>
  <si>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</si>
  <si>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</si>
  <si>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</si>
  <si>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</si>
  <si>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</si>
  <si>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</si>
  <si>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</si>
  <si>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</si>
  <si>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</si>
  <si>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</si>
  <si>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</si>
  <si>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</si>
  <si>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</si>
  <si>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</si>
  <si>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</si>
  <si>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</si>
  <si>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</si>
  <si>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</si>
  <si>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</si>
  <si>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</si>
  <si>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</si>
  <si>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</si>
  <si>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</si>
  <si>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</si>
  <si>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</si>
  <si>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</si>
  <si>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</si>
  <si>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</si>
  <si>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</si>
  <si>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</si>
  <si>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</si>
  <si>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</si>
  <si>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</si>
  <si>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</si>
  <si>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</si>
  <si>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</si>
  <si>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</si>
  <si>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</si>
  <si>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</si>
  <si>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</si>
  <si>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</si>
  <si>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</si>
  <si>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</si>
  <si>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</si>
  <si>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</si>
  <si>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</si>
  <si>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</si>
  <si>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</si>
  <si>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</si>
  <si>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</si>
  <si>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</si>
  <si>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</si>
  <si>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</si>
  <si>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</si>
  <si>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</si>
  <si>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</si>
  <si>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</si>
  <si>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</si>
  <si>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</si>
  <si>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</si>
  <si>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</si>
  <si>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</si>
  <si>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</si>
  <si>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</si>
  <si>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</si>
  <si>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</si>
  <si>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</si>
  <si>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</si>
  <si>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</si>
  <si>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</si>
  <si>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</si>
  <si>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</si>
  <si>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</si>
  <si>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</si>
  <si>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</si>
  <si>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</si>
  <si>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</si>
  <si>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</si>
  <si>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</si>
  <si>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</si>
  <si>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</si>
  <si>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</si>
  <si>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</si>
  <si>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</si>
  <si>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</si>
  <si>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</si>
  <si>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</si>
  <si>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</si>
  <si>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</si>
  <si>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</si>
  <si>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</si>
  <si>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</si>
  <si>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</si>
  <si>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</si>
  <si>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</si>
  <si>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</si>
  <si>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</si>
  <si>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</si>
  <si>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</si>
  <si>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</si>
  <si>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</si>
  <si>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</si>
  <si>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</si>
  <si>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</si>
  <si>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</si>
  <si>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</si>
  <si>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</si>
  <si>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</si>
  <si>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</si>
  <si>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</si>
  <si>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</si>
  <si>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</si>
  <si>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</si>
  <si>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</si>
  <si>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</si>
  <si>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</si>
  <si>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</si>
  <si>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</si>
  <si>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</si>
  <si>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</si>
  <si>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</si>
  <si>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</si>
  <si>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</si>
  <si>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</si>
  <si>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</si>
  <si>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</si>
  <si>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</si>
  <si>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</si>
  <si>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</si>
  <si>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</si>
  <si>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</si>
  <si>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</si>
  <si>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</si>
  <si>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</si>
  <si>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</si>
  <si>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</si>
  <si>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</si>
  <si>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</si>
  <si>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</si>
  <si>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</si>
  <si>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</si>
  <si>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</si>
  <si>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</si>
  <si>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</si>
  <si>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</si>
  <si>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</si>
  <si>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</si>
  <si>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</si>
  <si>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</si>
  <si>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</si>
  <si>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</si>
  <si>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</si>
  <si>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</si>
  <si>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</si>
  <si>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</si>
  <si>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</si>
  <si>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</si>
  <si>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</si>
  <si>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</si>
  <si>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</si>
  <si>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</si>
  <si>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</si>
  <si>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</si>
  <si>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</si>
  <si>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</si>
  <si>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</si>
  <si>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</si>
  <si>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</si>
  <si>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</si>
  <si>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</si>
  <si>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</si>
  <si>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</si>
  <si>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</si>
  <si>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</si>
  <si>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</si>
  <si>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</si>
  <si>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</si>
  <si>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</si>
  <si>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</si>
  <si>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</si>
  <si>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</si>
  <si>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</si>
  <si>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</si>
  <si>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</si>
  <si>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</si>
  <si>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</si>
  <si>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</si>
  <si>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</si>
  <si>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</si>
  <si>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</si>
  <si>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</si>
  <si>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</si>
  <si>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</si>
  <si>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</si>
  <si>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</si>
  <si>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</si>
  <si>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</si>
  <si>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</si>
  <si>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</si>
  <si>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</si>
  <si>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</si>
  <si>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</si>
  <si>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</si>
  <si>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</si>
  <si>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</si>
  <si>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</si>
  <si>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</si>
  <si>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</si>
  <si>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</si>
  <si>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</si>
  <si>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</si>
  <si>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</si>
  <si>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</si>
  <si>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</si>
  <si>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</si>
  <si>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</si>
  <si>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</si>
  <si>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</si>
  <si>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</si>
  <si>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</si>
  <si>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</si>
  <si>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</si>
  <si>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</si>
  <si>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</si>
  <si>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</si>
  <si>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</si>
  <si>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</si>
  <si>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</si>
  <si>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</si>
  <si>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</si>
  <si>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</si>
  <si>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</si>
  <si>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</si>
  <si>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</si>
  <si>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</si>
  <si>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</si>
  <si>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</si>
  <si>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</si>
  <si>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</si>
  <si>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</si>
  <si>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</si>
  <si>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</si>
  <si>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</si>
  <si>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</si>
  <si>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</si>
  <si>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</si>
  <si>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</si>
  <si>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</si>
  <si>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</si>
  <si>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</si>
  <si>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</si>
  <si>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</si>
  <si>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</si>
  <si>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</si>
  <si>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</si>
  <si>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</si>
  <si>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</si>
  <si>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</si>
  <si>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</si>
  <si>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</si>
  <si>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</si>
  <si>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</si>
  <si>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</si>
  <si>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</si>
  <si>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</si>
  <si>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</si>
  <si>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</si>
  <si>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</si>
  <si>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</si>
  <si>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</si>
  <si>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</si>
  <si>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</si>
  <si>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</si>
  <si>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</si>
  <si>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</si>
  <si>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</si>
  <si>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</si>
  <si>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</si>
  <si>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</si>
  <si>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</si>
  <si>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</si>
  <si>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</si>
  <si>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</si>
  <si>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</si>
  <si>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</si>
  <si>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</si>
  <si>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</si>
  <si>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</si>
  <si>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</si>
  <si>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</si>
  <si>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</si>
  <si>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</si>
  <si>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</si>
  <si>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</si>
  <si>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</si>
  <si>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</si>
  <si>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</si>
  <si>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</si>
  <si>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</si>
  <si>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</si>
  <si>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</si>
  <si>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</si>
  <si>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</si>
  <si>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</si>
  <si>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</si>
  <si>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</si>
  <si>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</si>
  <si>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</si>
  <si>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</si>
  <si>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</si>
  <si>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</si>
  <si>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</si>
  <si>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</si>
  <si>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</si>
  <si>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</si>
  <si>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</si>
  <si>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</si>
  <si>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</si>
  <si>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</si>
  <si>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</si>
  <si>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</si>
  <si>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</si>
  <si>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</si>
  <si>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</si>
  <si>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</si>
  <si>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</si>
  <si>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</si>
  <si>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</si>
  <si>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</si>
  <si>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</si>
  <si>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</si>
  <si>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</si>
  <si>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</si>
  <si>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</si>
  <si>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</si>
  <si>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</si>
  <si>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</si>
  <si>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</si>
  <si>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</si>
  <si>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</si>
  <si>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</si>
  <si>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</si>
  <si>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</si>
  <si>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</si>
  <si>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</si>
  <si>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</si>
  <si>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</si>
  <si>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</si>
  <si>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</si>
  <si>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</si>
  <si>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</si>
  <si>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</si>
  <si>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</si>
  <si>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</si>
  <si>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</si>
  <si>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</si>
  <si>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</si>
  <si>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</si>
  <si>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</si>
  <si>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</si>
  <si>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</si>
  <si>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</si>
  <si>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</si>
  <si>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</si>
  <si>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</si>
  <si>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</si>
  <si>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</si>
  <si>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</si>
  <si>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</si>
  <si>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</si>
  <si>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</si>
  <si>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</si>
  <si>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</si>
  <si>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</si>
  <si>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</si>
  <si>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</si>
  <si>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</si>
  <si>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</si>
  <si>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</si>
  <si>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</si>
  <si>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</si>
  <si>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</si>
  <si>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</si>
  <si>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</si>
  <si>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</si>
  <si>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</si>
  <si>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</si>
  <si>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</si>
  <si>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</si>
  <si>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</si>
  <si>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</si>
  <si>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</si>
  <si>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</si>
  <si>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</si>
  <si>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</si>
  <si>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</si>
  <si>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</si>
  <si>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</si>
  <si>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</si>
  <si>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</si>
  <si>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</si>
  <si>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</si>
  <si>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</si>
  <si>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</si>
  <si>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</si>
  <si>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</si>
  <si>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</si>
  <si>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</si>
  <si>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</si>
  <si>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</si>
  <si>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</si>
  <si>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</si>
  <si>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</si>
  <si>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</si>
  <si>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</si>
  <si>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</si>
  <si>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</si>
  <si>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</si>
  <si>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</si>
  <si>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</si>
  <si>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</si>
  <si>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</si>
  <si>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</si>
  <si>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</si>
  <si>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</si>
  <si>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</si>
  <si>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</si>
  <si>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</si>
  <si>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</si>
  <si>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</si>
  <si>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</si>
  <si>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</si>
  <si>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</si>
  <si>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</si>
  <si>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</si>
  <si>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</si>
  <si>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</si>
  <si>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</si>
  <si>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</si>
  <si>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</si>
  <si>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</si>
  <si>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</si>
  <si>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</si>
  <si>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</si>
  <si>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</si>
  <si>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</si>
  <si>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</si>
  <si>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</si>
  <si>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</si>
  <si>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</si>
  <si>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</si>
  <si>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</si>
  <si>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</si>
  <si>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</si>
  <si>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</si>
  <si>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</si>
  <si>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</si>
  <si>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</si>
  <si>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</si>
  <si>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</si>
  <si>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</si>
  <si>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</si>
  <si>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</si>
  <si>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</si>
  <si>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</si>
  <si>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</si>
  <si>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</si>
  <si>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</si>
  <si>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</si>
  <si>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</si>
  <si>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</si>
  <si>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</si>
  <si>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</si>
  <si>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</si>
  <si>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</si>
  <si>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</si>
  <si>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</si>
  <si>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</si>
  <si>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</si>
  <si>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</si>
  <si>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</si>
  <si>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</si>
  <si>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</si>
  <si>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</si>
  <si>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</si>
  <si>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</si>
  <si>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</si>
  <si>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</si>
  <si>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</si>
  <si>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</si>
  <si>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</si>
  <si>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</si>
  <si>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</si>
  <si>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</si>
  <si>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</si>
  <si>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</si>
  <si>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</si>
  <si>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</si>
  <si>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</si>
  <si>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</si>
  <si>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</si>
  <si>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</si>
  <si>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</si>
  <si>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</si>
  <si>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</si>
  <si>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</si>
  <si>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</si>
  <si>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</si>
  <si>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</si>
  <si>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</si>
  <si>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</si>
  <si>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</si>
  <si>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</si>
  <si>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</si>
  <si>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</si>
  <si>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</si>
  <si>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</si>
  <si>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</si>
  <si>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</si>
  <si>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</si>
  <si>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</si>
  <si>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</si>
  <si>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</si>
  <si>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</si>
  <si>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</si>
  <si>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</si>
  <si>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</si>
  <si>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</si>
  <si>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</si>
  <si>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</si>
  <si>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</si>
  <si>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</si>
  <si>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</si>
  <si>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</si>
  <si>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</si>
  <si>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</si>
  <si>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</si>
  <si>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</si>
  <si>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</si>
  <si>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</si>
  <si>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</si>
  <si>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</si>
  <si>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</si>
  <si>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</si>
  <si>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</si>
  <si>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</si>
  <si>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</si>
  <si>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</si>
  <si>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</si>
  <si>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</si>
  <si>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</si>
  <si>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</si>
  <si>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</si>
  <si>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</si>
  <si>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</si>
  <si>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</si>
  <si>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</si>
  <si>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</si>
  <si>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</si>
  <si>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</si>
  <si>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</si>
  <si>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</si>
  <si>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</si>
  <si>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</si>
  <si>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</si>
  <si>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</si>
  <si>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</si>
  <si>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</si>
  <si>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</si>
  <si>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</si>
  <si>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</si>
  <si>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</si>
  <si>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</si>
  <si>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</si>
  <si>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</si>
  <si>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</si>
  <si>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</si>
  <si>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</si>
  <si>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</si>
  <si>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</si>
  <si>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</si>
  <si>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</si>
  <si>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</si>
  <si>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</si>
  <si>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</si>
  <si>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</si>
  <si>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</si>
  <si>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</si>
  <si>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</si>
  <si>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</si>
  <si>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</si>
  <si>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</si>
  <si>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</si>
  <si>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</si>
  <si>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</si>
  <si>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</si>
  <si>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</si>
  <si>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</si>
  <si>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</si>
  <si>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</si>
  <si>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</si>
  <si>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</si>
  <si>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</si>
  <si>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</si>
  <si>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</si>
  <si>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</si>
  <si>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</si>
  <si>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</si>
  <si>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</si>
  <si>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</si>
  <si>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</si>
  <si>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</si>
  <si>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</si>
  <si>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</si>
  <si>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</si>
  <si>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</si>
  <si>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</si>
  <si>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</si>
  <si>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</si>
  <si>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</si>
  <si>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</si>
  <si>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</si>
  <si>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</si>
  <si>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</si>
  <si>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</si>
  <si>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</si>
  <si>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</si>
  <si>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</si>
  <si>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</si>
  <si>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</si>
  <si>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</si>
  <si>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</si>
  <si>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</si>
  <si>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</si>
  <si>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</si>
  <si>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</si>
  <si>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</si>
  <si>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</si>
  <si>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</si>
  <si>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</si>
  <si>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</si>
  <si>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</si>
  <si>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</si>
  <si>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</si>
  <si>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</si>
  <si>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</si>
  <si>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</si>
  <si>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</si>
  <si>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</si>
  <si>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</si>
  <si>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</si>
  <si>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</si>
  <si>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</si>
  <si>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</si>
  <si>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</si>
  <si>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</si>
  <si>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</si>
  <si>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</si>
  <si>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</si>
  <si>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</si>
  <si>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</si>
  <si>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</si>
  <si>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</si>
  <si>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</si>
  <si>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</si>
  <si>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</si>
  <si>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</si>
  <si>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</si>
  <si>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</si>
  <si>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</si>
  <si>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</si>
  <si>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</si>
  <si>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</si>
  <si>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</si>
  <si>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</si>
  <si>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</si>
  <si>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</si>
  <si>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</si>
  <si>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</si>
  <si>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</si>
  <si>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</si>
  <si>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</si>
  <si>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</si>
  <si>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</si>
  <si>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</si>
  <si>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</si>
  <si>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</si>
  <si>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</si>
  <si>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</si>
  <si>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</si>
  <si>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</si>
  <si>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</si>
  <si>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</si>
  <si>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</si>
  <si>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</si>
  <si>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</si>
  <si>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</si>
  <si>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</si>
  <si>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</si>
  <si>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</si>
  <si>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</si>
  <si>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</si>
  <si>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</si>
  <si>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</si>
  <si>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</si>
  <si>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</si>
  <si>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</si>
  <si>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</si>
  <si>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</si>
  <si>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</si>
  <si>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</si>
  <si>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</si>
  <si>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</si>
  <si>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</si>
  <si>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</si>
  <si>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</si>
  <si>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</si>
  <si>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</si>
  <si>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</si>
  <si>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</si>
  <si>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</si>
  <si>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</si>
  <si>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</si>
  <si>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</si>
  <si>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</si>
  <si>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</si>
  <si>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</si>
  <si>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</si>
  <si>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</si>
  <si>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</si>
  <si>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</si>
  <si>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</si>
  <si>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</si>
  <si>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</si>
  <si>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</si>
  <si>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</si>
  <si>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</si>
  <si>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</si>
  <si>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</si>
  <si>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</si>
  <si>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</si>
  <si>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</si>
  <si>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</si>
  <si>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</si>
  <si>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</si>
  <si>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</si>
  <si>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</si>
  <si>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</si>
  <si>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</si>
  <si>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</si>
  <si>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</si>
  <si>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</si>
  <si>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</si>
  <si>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</si>
  <si>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</si>
  <si>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</si>
  <si>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</si>
  <si>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</si>
  <si>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</si>
  <si>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</si>
  <si>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</si>
  <si>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</si>
  <si>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</si>
  <si>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</si>
  <si>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</si>
  <si>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</si>
  <si>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</si>
  <si>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</si>
  <si>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</si>
  <si>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</si>
  <si>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</si>
  <si>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</si>
  <si>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</si>
  <si>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</si>
  <si>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</si>
  <si>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</si>
  <si>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</si>
  <si>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</si>
  <si>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</si>
  <si>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</si>
  <si>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</si>
  <si>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</si>
  <si>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</si>
  <si>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</si>
  <si>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</si>
  <si>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</si>
  <si>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</si>
  <si>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</si>
  <si>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</si>
  <si>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</si>
  <si>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</si>
  <si>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</si>
  <si>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</si>
  <si>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</si>
  <si>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</si>
  <si>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</si>
  <si>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</si>
  <si>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</si>
  <si>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</si>
  <si>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</si>
  <si>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</si>
  <si>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</si>
  <si>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</si>
  <si>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</si>
  <si>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</si>
  <si>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</si>
  <si>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</si>
  <si>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</si>
  <si>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</si>
  <si>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</si>
  <si>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</si>
  <si>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</si>
  <si>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</si>
  <si>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</si>
  <si>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</si>
  <si>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</si>
  <si>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</si>
  <si>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</si>
  <si>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</si>
  <si>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</si>
  <si>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</si>
  <si>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</si>
  <si>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</si>
  <si>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</si>
  <si>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</si>
  <si>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</si>
  <si>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</si>
  <si>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</si>
  <si>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</si>
  <si>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</si>
  <si>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</si>
  <si>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</si>
  <si>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</si>
  <si>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</si>
  <si>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</si>
  <si>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</si>
  <si>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</si>
  <si>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</si>
  <si>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</si>
  <si>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</si>
  <si>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</si>
  <si>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</si>
  <si>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</si>
  <si>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</si>
  <si>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</si>
  <si>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</si>
  <si>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</si>
  <si>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</si>
  <si>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</si>
  <si>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</si>
  <si>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</si>
  <si>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</si>
  <si>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</si>
  <si>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</si>
  <si>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</si>
  <si>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</si>
  <si>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</si>
  <si>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</si>
  <si>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</si>
  <si>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</si>
  <si>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</si>
  <si>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</si>
  <si>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</si>
  <si>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</si>
  <si>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</si>
  <si>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</si>
  <si>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</si>
  <si>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</si>
  <si>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</si>
  <si>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</si>
  <si>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</si>
  <si>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</si>
  <si>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</si>
  <si>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</si>
  <si>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</si>
  <si>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</si>
  <si>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</si>
  <si>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</si>
  <si>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</si>
  <si>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</si>
  <si>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</si>
  <si>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</si>
  <si>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</si>
  <si>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</si>
  <si>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</si>
  <si>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</si>
  <si>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</si>
  <si>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</si>
  <si>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</si>
  <si>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</si>
  <si>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</si>
  <si>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</si>
  <si>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</si>
  <si>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</si>
  <si>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</si>
  <si>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</si>
  <si>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</si>
  <si>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</si>
  <si>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</si>
  <si>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</si>
  <si>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</si>
  <si>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</si>
  <si>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</si>
  <si>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</si>
  <si>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</si>
  <si>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</si>
  <si>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</si>
  <si>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</si>
  <si>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</si>
  <si>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</si>
  <si>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</si>
  <si>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</si>
  <si>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</si>
  <si>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</si>
  <si>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</si>
  <si>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</si>
  <si>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</si>
  <si>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</si>
  <si>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</si>
  <si>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</si>
  <si>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</si>
  <si>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</si>
  <si>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</si>
  <si>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</si>
  <si>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</si>
  <si>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</si>
  <si>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</si>
  <si>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</si>
  <si>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</si>
  <si>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</si>
  <si>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</si>
  <si>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</si>
  <si>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</si>
  <si>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</si>
  <si>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</si>
  <si>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</si>
  <si>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</si>
  <si>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</si>
  <si>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</si>
  <si>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</si>
  <si>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</si>
  <si>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</si>
  <si>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</si>
  <si>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</si>
  <si>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</si>
  <si>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</si>
  <si>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</si>
  <si>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</si>
  <si>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</si>
  <si>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</si>
  <si>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</si>
  <si>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</si>
  <si>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</si>
  <si>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</si>
  <si>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</si>
  <si>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</si>
  <si>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</si>
  <si>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</si>
  <si>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</si>
  <si>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</si>
  <si>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</si>
  <si>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</si>
  <si>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</si>
  <si>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</si>
  <si>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</si>
  <si>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</si>
  <si>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</si>
  <si>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</si>
  <si>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</si>
  <si>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</si>
  <si>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</si>
  <si>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</si>
  <si>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</si>
  <si>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</si>
  <si>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</si>
  <si>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</si>
  <si>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</si>
  <si>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</si>
  <si>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</si>
  <si>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</si>
  <si>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</si>
  <si>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</si>
  <si>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</si>
  <si>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</si>
  <si>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</si>
  <si>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</si>
  <si>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</si>
  <si>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</si>
  <si>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</si>
  <si>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</si>
  <si>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</si>
  <si>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</si>
  <si>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</si>
  <si>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</si>
  <si>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</si>
  <si>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</si>
  <si>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</si>
  <si>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</si>
  <si>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</si>
  <si>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</si>
  <si>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</si>
  <si>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</si>
  <si>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</si>
  <si>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</si>
  <si>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</si>
  <si>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</si>
  <si>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</si>
  <si>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</si>
  <si>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</si>
  <si>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</si>
  <si>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</si>
  <si>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</si>
  <si>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</si>
  <si>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</si>
  <si>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</si>
  <si>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</si>
  <si>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</si>
  <si>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</si>
  <si>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</si>
  <si>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</si>
  <si>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</si>
  <si>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</si>
  <si>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</si>
  <si>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</si>
  <si>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</si>
  <si>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</si>
  <si>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</si>
  <si>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</si>
  <si>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</si>
  <si>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</si>
  <si>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</si>
  <si>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</si>
  <si>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</si>
  <si>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</si>
  <si>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</si>
  <si>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</si>
  <si>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</si>
  <si>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</si>
  <si>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</si>
  <si>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</si>
  <si>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</si>
  <si>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</si>
  <si>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</si>
  <si>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</si>
  <si>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</si>
  <si>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</si>
  <si>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</si>
  <si>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</si>
  <si>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</si>
  <si>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</si>
  <si>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</si>
  <si>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</si>
  <si>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</si>
  <si>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</si>
  <si>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</si>
  <si>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</si>
  <si>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</si>
  <si>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</si>
  <si>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</si>
  <si>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</si>
  <si>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</si>
  <si>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</si>
  <si>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</si>
  <si>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</si>
  <si>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</si>
  <si>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</si>
  <si>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</si>
  <si>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</si>
  <si>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</si>
  <si>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</si>
  <si>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</si>
  <si>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</si>
  <si>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</si>
  <si>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</si>
  <si>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</si>
  <si>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</si>
  <si>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</si>
  <si>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</si>
  <si>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</si>
  <si>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</si>
  <si>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</si>
  <si>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</si>
  <si>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</si>
  <si>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</si>
  <si>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</si>
  <si>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</si>
  <si>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</si>
  <si>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</si>
  <si>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</si>
  <si>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</si>
  <si>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</si>
  <si>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</si>
  <si>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</si>
  <si>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</si>
  <si>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</si>
  <si>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</si>
  <si>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</si>
  <si>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</si>
  <si>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</si>
  <si>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</si>
  <si>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</si>
  <si>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</si>
  <si>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</si>
  <si>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</si>
  <si>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</si>
  <si>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</si>
  <si>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</si>
  <si>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</si>
  <si>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</si>
  <si>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</si>
  <si>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</si>
  <si>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</si>
  <si>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</si>
  <si>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</si>
  <si>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</si>
  <si>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</si>
  <si>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</si>
  <si>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</si>
  <si>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</si>
  <si>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</si>
  <si>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</si>
  <si>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</si>
  <si>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</si>
  <si>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</si>
  <si>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</si>
  <si>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</si>
  <si>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</si>
  <si>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</si>
  <si>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</si>
  <si>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</si>
  <si>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</si>
  <si>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</si>
  <si>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</si>
  <si>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</si>
  <si>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</si>
  <si>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</si>
  <si>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</si>
  <si>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</si>
  <si>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</si>
  <si>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</si>
  <si>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</si>
  <si>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</si>
  <si>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</si>
  <si>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</si>
  <si>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</si>
  <si>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</si>
  <si>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</si>
  <si>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</si>
  <si>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</si>
  <si>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</si>
  <si>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</si>
  <si>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</si>
  <si>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</si>
  <si>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</si>
  <si>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</si>
  <si>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</si>
  <si>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</si>
  <si>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</si>
  <si>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</si>
  <si>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</si>
  <si>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</si>
  <si>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</si>
  <si>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</si>
  <si>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</si>
  <si>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</si>
  <si>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</si>
  <si>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</si>
  <si>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</si>
  <si>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</si>
  <si>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</si>
  <si>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</si>
  <si>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</si>
  <si>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</si>
  <si>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</si>
  <si>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</si>
  <si>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</si>
  <si>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</si>
  <si>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</si>
  <si>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</si>
  <si>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</si>
  <si>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</si>
  <si>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</si>
  <si>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</si>
  <si>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</si>
  <si>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</si>
  <si>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</si>
  <si>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</si>
  <si>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</si>
  <si>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</si>
  <si>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</si>
  <si>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</si>
  <si>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</si>
  <si>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</si>
  <si>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</si>
  <si>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</si>
  <si>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</si>
  <si>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</si>
  <si>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</si>
  <si>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</si>
  <si>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</si>
  <si>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</si>
  <si>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</si>
  <si>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</si>
  <si>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</si>
  <si>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</si>
  <si>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</si>
  <si>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</si>
  <si>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</si>
  <si>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</si>
  <si>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</si>
  <si>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</si>
  <si>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</si>
  <si>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</si>
  <si>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</si>
  <si>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</si>
  <si>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</si>
  <si>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</si>
  <si>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</si>
  <si>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</si>
  <si>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</si>
  <si>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</si>
  <si>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</si>
  <si>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</si>
  <si>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</si>
  <si>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</si>
  <si>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</si>
  <si>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</si>
  <si>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</si>
  <si>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</si>
  <si>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</si>
  <si>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</si>
  <si>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</si>
  <si>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</si>
  <si>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</si>
  <si>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</si>
  <si>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</si>
  <si>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</si>
  <si>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</si>
  <si>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</si>
  <si>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</si>
  <si>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</si>
  <si>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</si>
  <si>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</si>
  <si>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</si>
  <si>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</si>
  <si>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</si>
  <si>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</si>
  <si>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</si>
  <si>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</si>
  <si>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</si>
  <si>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</si>
  <si>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</si>
  <si>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</si>
  <si>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</si>
  <si>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</si>
  <si>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</si>
  <si>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</si>
  <si>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</si>
  <si>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</si>
  <si>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</si>
  <si>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</si>
  <si>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</si>
  <si>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</si>
  <si>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</si>
  <si>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</si>
  <si>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</si>
  <si>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</si>
  <si>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</si>
  <si>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</si>
  <si>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</si>
  <si>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</si>
  <si>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</si>
  <si>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</si>
  <si>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</si>
  <si>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</si>
  <si>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</si>
  <si>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</si>
  <si>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</si>
  <si>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</si>
  <si>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</si>
  <si>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</si>
  <si>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</si>
  <si>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</si>
  <si>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</si>
  <si>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</si>
  <si>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</si>
  <si>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</si>
  <si>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</si>
  <si>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</si>
  <si>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</si>
  <si>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</si>
  <si>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</si>
  <si>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</si>
  <si>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</si>
  <si>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</si>
  <si>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</si>
  <si>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</si>
  <si>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</si>
  <si>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</si>
  <si>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</si>
  <si>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</si>
  <si>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</si>
  <si>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</si>
  <si>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</si>
  <si>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</si>
  <si>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</si>
  <si>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</si>
  <si>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</si>
  <si>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</si>
  <si>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</si>
  <si>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</si>
  <si>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</si>
  <si>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</si>
  <si>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</si>
  <si>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</si>
  <si>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</si>
  <si>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</si>
  <si>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</si>
  <si>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</si>
  <si>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</si>
  <si>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</si>
  <si>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</si>
  <si>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</si>
  <si>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</si>
  <si>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</si>
  <si>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</si>
  <si>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</si>
  <si>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</si>
  <si>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</si>
  <si>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</si>
  <si>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</si>
  <si>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</si>
  <si>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</si>
  <si>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</si>
  <si>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</si>
  <si>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</si>
  <si>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</si>
  <si>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</si>
  <si>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</si>
  <si>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</si>
  <si>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</si>
  <si>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</si>
  <si>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</si>
  <si>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</si>
  <si>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</si>
  <si>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</si>
  <si>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</si>
  <si>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</si>
  <si>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</si>
  <si>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</si>
  <si>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</si>
  <si>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</si>
  <si>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</si>
  <si>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</si>
  <si>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</si>
  <si>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</si>
  <si>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</si>
  <si>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</si>
  <si>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</si>
  <si>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</si>
  <si>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</si>
  <si>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</si>
  <si>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</si>
  <si>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</si>
  <si>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</si>
  <si>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</si>
  <si>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</si>
  <si>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</si>
  <si>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</si>
  <si>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</si>
  <si>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</si>
  <si>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</si>
  <si>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</si>
  <si>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</si>
  <si>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</si>
  <si>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</si>
  <si>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</si>
  <si>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</si>
  <si>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</si>
  <si>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</si>
  <si>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</si>
  <si>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</si>
  <si>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</si>
  <si>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</si>
  <si>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</si>
  <si>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</si>
  <si>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</si>
  <si>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</si>
  <si>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</si>
  <si>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</si>
  <si>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</si>
  <si>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</si>
  <si>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</si>
  <si>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</si>
  <si>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</si>
  <si>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</si>
  <si>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</si>
  <si>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</si>
  <si>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</si>
  <si>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</si>
  <si>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</si>
  <si>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</si>
  <si>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</si>
  <si>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</si>
  <si>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</si>
  <si>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</si>
  <si>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</si>
  <si>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</si>
  <si>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</si>
  <si>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</si>
  <si>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</si>
  <si>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</si>
  <si>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</si>
  <si>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</si>
  <si>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</si>
  <si>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</si>
  <si>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</si>
  <si>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</si>
  <si>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</si>
  <si>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</si>
  <si>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</si>
  <si>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</si>
  <si>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</si>
  <si>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</si>
  <si>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</si>
  <si>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</si>
  <si>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</si>
  <si>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</si>
  <si>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</si>
  <si>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</si>
  <si>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</si>
  <si>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</si>
  <si>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</si>
  <si>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</si>
  <si>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</si>
  <si>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</si>
  <si>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</si>
  <si>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</si>
  <si>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</si>
  <si>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</si>
  <si>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</si>
  <si>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</si>
  <si>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</si>
  <si>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</si>
  <si>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</si>
  <si>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</si>
  <si>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</si>
  <si>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</si>
  <si>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</si>
  <si>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</si>
  <si>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</si>
  <si>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</si>
  <si>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</si>
  <si>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</si>
  <si>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</si>
  <si>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</si>
  <si>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</si>
  <si>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</si>
  <si>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</si>
  <si>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</si>
  <si>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</si>
  <si>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</si>
  <si>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</si>
  <si>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</si>
  <si>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</si>
  <si>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</si>
  <si>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</si>
  <si>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</si>
  <si>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</si>
  <si>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</si>
  <si>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</si>
  <si>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</si>
  <si>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</si>
  <si>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</si>
  <si>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</si>
  <si>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</si>
  <si>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</si>
  <si>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</si>
  <si>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</si>
  <si>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</si>
  <si>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</si>
  <si>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</si>
  <si>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</si>
  <si>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</si>
  <si>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</si>
  <si>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</si>
  <si>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</si>
  <si>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</si>
  <si>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</si>
  <si>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</si>
  <si>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</si>
  <si>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</si>
  <si>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</si>
  <si>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</si>
  <si>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</si>
  <si>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</si>
  <si>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</si>
  <si>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</si>
  <si>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</si>
  <si>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</si>
  <si>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</si>
  <si>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</si>
  <si>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</si>
  <si>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</si>
  <si>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</si>
  <si>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</si>
  <si>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</si>
  <si>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</si>
  <si>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</si>
  <si>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</si>
  <si>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</si>
  <si>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</si>
  <si>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</si>
  <si>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</si>
  <si>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</si>
  <si>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</si>
  <si>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</si>
  <si>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</si>
  <si>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</si>
  <si>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</si>
  <si>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</si>
  <si>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</si>
  <si>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</si>
  <si>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</si>
  <si>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</si>
  <si>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</si>
  <si>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</si>
  <si>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</si>
  <si>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</si>
  <si>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</si>
  <si>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</si>
  <si>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</si>
  <si>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</si>
  <si>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</si>
  <si>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</si>
  <si>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</si>
  <si>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</si>
  <si>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</si>
  <si>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</si>
  <si>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</si>
  <si>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</si>
  <si>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</si>
  <si>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</si>
  <si>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</si>
  <si>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</si>
  <si>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</si>
  <si>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</si>
  <si>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</si>
  <si>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</si>
  <si>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</si>
  <si>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</si>
  <si>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</si>
  <si>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</si>
  <si>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</si>
  <si>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</si>
  <si>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</si>
  <si>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</si>
  <si>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</si>
  <si>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</si>
  <si>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</si>
  <si>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</si>
  <si>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</si>
  <si>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</si>
  <si>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</si>
  <si>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</si>
  <si>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</si>
  <si>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</si>
  <si>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</si>
  <si>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</si>
  <si>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</si>
  <si>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</si>
  <si>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</si>
  <si>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</si>
  <si>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</si>
  <si>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</si>
  <si>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</si>
  <si>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</si>
  <si>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</si>
  <si>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</si>
  <si>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</si>
  <si>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</si>
  <si>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</si>
  <si>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</si>
  <si>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</si>
  <si>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</si>
  <si>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</si>
  <si>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</si>
  <si>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</si>
  <si>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</si>
  <si>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</si>
  <si>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</si>
  <si>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</si>
  <si>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</si>
  <si>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</si>
  <si>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</si>
  <si>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</si>
  <si>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</si>
  <si>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</si>
  <si>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</si>
  <si>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</si>
  <si>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</si>
  <si>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</si>
  <si>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</si>
  <si>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</si>
  <si>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</si>
  <si>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</si>
  <si>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</si>
  <si>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</si>
  <si>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</si>
  <si>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</si>
  <si>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</si>
  <si>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</si>
  <si>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</si>
  <si>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</si>
  <si>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</si>
  <si>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</si>
  <si>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</si>
  <si>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</si>
  <si>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</si>
  <si>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</si>
  <si>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</si>
  <si>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</si>
  <si>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</si>
  <si>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</si>
  <si>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</si>
  <si>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</si>
  <si>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</si>
  <si>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</si>
  <si>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</si>
  <si>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</si>
  <si>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</si>
  <si>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</si>
  <si>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</si>
  <si>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</si>
  <si>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</si>
  <si>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</si>
  <si>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</si>
  <si>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</si>
  <si>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</si>
  <si>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</si>
  <si>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</si>
  <si>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</si>
  <si>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</si>
  <si>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</si>
  <si>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</si>
  <si>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</si>
  <si>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</si>
  <si>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</si>
  <si>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</si>
  <si>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</si>
  <si>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</si>
  <si>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</si>
  <si>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</si>
  <si>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</si>
  <si>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</si>
  <si>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</si>
  <si>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</si>
  <si>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</si>
  <si>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</si>
  <si>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</si>
  <si>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</si>
  <si>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</si>
  <si>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</si>
  <si>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</si>
  <si>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</si>
  <si>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</si>
  <si>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</si>
  <si>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</si>
  <si>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</si>
  <si>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</si>
  <si>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</si>
  <si>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</si>
  <si>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</si>
  <si>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</si>
  <si>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</si>
  <si>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</si>
  <si>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</si>
  <si>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</si>
  <si>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</si>
  <si>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</si>
  <si>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</si>
  <si>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</si>
  <si>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</si>
  <si>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</si>
  <si>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</si>
  <si>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</si>
  <si>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</si>
  <si>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</si>
  <si>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</si>
  <si>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</si>
  <si>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</si>
  <si>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</si>
  <si>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</si>
  <si>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</si>
  <si>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</si>
  <si>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</si>
  <si>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</si>
  <si>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</si>
  <si>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</si>
  <si>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</si>
  <si>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</si>
  <si>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</si>
  <si>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</si>
  <si>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</si>
  <si>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</si>
  <si>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</si>
  <si>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</si>
  <si>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</si>
  <si>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</si>
  <si>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</si>
  <si>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</si>
  <si>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</si>
  <si>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</si>
  <si>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</si>
  <si>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</si>
  <si>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</si>
  <si>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</si>
  <si>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</si>
  <si>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</si>
  <si>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</si>
  <si>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</si>
  <si>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</si>
  <si>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</si>
  <si>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</si>
  <si>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</si>
  <si>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</si>
  <si>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</si>
  <si>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</si>
  <si>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</si>
  <si>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</si>
  <si>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</si>
  <si>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</si>
  <si>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</si>
  <si>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</si>
  <si>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</si>
  <si>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</si>
  <si>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</si>
  <si>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</si>
  <si>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</si>
  <si>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</si>
  <si>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</si>
  <si>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</si>
  <si>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</si>
  <si>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</si>
  <si>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</si>
  <si>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</si>
  <si>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</si>
  <si>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</si>
  <si>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</si>
  <si>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</si>
  <si>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</si>
  <si>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</si>
  <si>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</si>
  <si>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</si>
  <si>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</si>
  <si>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</si>
  <si>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</si>
  <si>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</si>
  <si>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</si>
  <si>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</si>
  <si>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</si>
  <si>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</si>
  <si>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</si>
  <si>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</si>
  <si>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</si>
  <si>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</si>
  <si>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</si>
  <si>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</si>
  <si>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</si>
  <si>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</si>
  <si>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</si>
  <si>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</si>
  <si>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コメント</t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</si>
  <si>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</si>
  <si>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</si>
  <si>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</si>
  <si>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</si>
  <si>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</si>
  <si>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</si>
  <si>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</si>
  <si>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</si>
  <si>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</si>
  <si>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</si>
  <si>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</si>
  <si>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</si>
  <si>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</si>
  <si>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</si>
  <si>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</si>
  <si>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参考保険 払方コード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</si>
  <si>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</si>
  <si>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</si>
  <si>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</si>
  <si>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</si>
  <si>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</si>
  <si>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</si>
  <si>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</si>
  <si>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</si>
  <si>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</si>
  <si>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</si>
  <si>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</si>
  <si>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</si>
  <si>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</si>
  <si>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</si>
  <si>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</si>
  <si>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</si>
  <si>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</si>
  <si>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</si>
  <si>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法人の総負担額増減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</si>
  <si>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</si>
  <si>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</si>
  <si>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</si>
  <si>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</si>
  <si>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</si>
  <si>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</si>
  <si>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</si>
  <si>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</si>
  <si>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行番号</t>
  </si>
  <si>
    <t>開始年月</t>
  </si>
  <si>
    <t>終了年月</t>
  </si>
  <si>
    <t>行番号</t>
    <phoneticPr fontId="4"/>
  </si>
  <si>
    <t>年収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</si>
  <si>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</si>
  <si>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</si>
  <si>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</si>
  <si>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</si>
  <si>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</si>
  <si>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</si>
  <si>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</si>
  <si>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</si>
  <si>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</si>
  <si>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</si>
  <si>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</si>
  <si>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</si>
  <si>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</si>
  <si>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</si>
  <si>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</si>
  <si>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</si>
  <si>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</si>
  <si>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</si>
  <si>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</si>
  <si>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</si>
  <si>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</si>
  <si>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</si>
  <si>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</si>
  <si>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</si>
  <si>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</si>
  <si>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</si>
  <si>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</si>
  <si>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</si>
  <si>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</si>
  <si>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</si>
  <si>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</si>
  <si>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</si>
  <si>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</si>
  <si>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</si>
  <si>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</si>
  <si>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</si>
  <si>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</si>
  <si>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</si>
  <si>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</si>
  <si>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</si>
  <si>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</si>
  <si>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</si>
  <si>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</si>
  <si>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</si>
  <si>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</si>
  <si>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</si>
  <si>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</si>
  <si>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</si>
  <si>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</si>
  <si>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</si>
  <si>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</si>
  <si>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</si>
  <si>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</si>
  <si>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</si>
  <si>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</si>
  <si>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</si>
  <si>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</si>
  <si>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</si>
  <si>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</si>
  <si>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</si>
  <si>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</si>
  <si>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</si>
  <si>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</si>
  <si>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</si>
  <si>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</si>
  <si>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</si>
  <si>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</si>
  <si>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</si>
  <si>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</si>
  <si>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</si>
  <si>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</si>
  <si>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</si>
  <si>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</si>
  <si>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</si>
  <si>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</si>
  <si>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</si>
  <si>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</si>
  <si>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</si>
  <si>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</si>
  <si>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</si>
  <si>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</si>
  <si>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</si>
  <si>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</si>
  <si>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</si>
  <si>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</si>
  <si>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</si>
  <si>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</si>
  <si>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</si>
  <si>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</si>
  <si>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</si>
  <si>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</si>
  <si>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</si>
  <si>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</si>
  <si>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</si>
  <si>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</si>
  <si>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</si>
  <si>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</si>
  <si>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</si>
  <si>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</si>
  <si>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</si>
  <si>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</si>
  <si>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</si>
  <si>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</si>
  <si>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</si>
  <si>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</si>
  <si>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</si>
  <si>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</si>
  <si>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</si>
  <si>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</si>
  <si>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</si>
  <si>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</si>
  <si>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</si>
  <si>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</si>
  <si>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</si>
  <si>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</si>
  <si>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</si>
  <si>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</si>
  <si>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</si>
  <si>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</si>
  <si>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</si>
  <si>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</si>
  <si>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</si>
  <si>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</si>
  <si>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</si>
  <si>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</si>
  <si>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</si>
  <si>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</si>
  <si>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</si>
  <si>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</si>
  <si>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</si>
  <si>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</si>
  <si>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法人経営立て直し資金試算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</si>
  <si>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</si>
  <si>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</si>
  <si>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</si>
  <si>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</si>
  <si>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</si>
  <si>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</si>
  <si>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</si>
  <si>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</si>
  <si>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</si>
  <si>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</si>
  <si>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</si>
  <si>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</si>
  <si>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</si>
  <si>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</si>
  <si>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</si>
  <si>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</si>
  <si>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</si>
  <si>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</si>
  <si>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</si>
  <si>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</si>
  <si>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</si>
  <si>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</si>
  <si>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</si>
  <si>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</si>
  <si>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</si>
  <si>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</si>
  <si>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</si>
  <si>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</si>
  <si>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</si>
  <si>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</si>
  <si>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</si>
  <si>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</si>
  <si>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</si>
  <si>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</si>
  <si>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</si>
  <si>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</si>
  <si>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</si>
  <si>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</si>
  <si>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</si>
  <si>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</si>
  <si>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</si>
  <si>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</si>
  <si>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</si>
  <si>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</si>
  <si>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</si>
  <si>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</si>
  <si>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</si>
  <si>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</si>
  <si>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</si>
  <si>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</si>
  <si>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</si>
  <si>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</si>
  <si>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</si>
  <si>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</si>
  <si>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</si>
  <si>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</si>
  <si>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</si>
  <si>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</si>
  <si>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</si>
  <si>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顧客ID</t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</si>
  <si>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</si>
  <si>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</si>
  <si>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</si>
  <si>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</si>
  <si>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</si>
  <si>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</si>
  <si>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</si>
  <si>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</si>
  <si>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</si>
  <si>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</si>
  <si>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</si>
  <si>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</si>
  <si>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</si>
  <si>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</si>
  <si>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</si>
  <si>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T_CORP_PFAMLY</t>
    <phoneticPr fontId="4"/>
  </si>
  <si>
    <t>T_CORP_PFAMLY_NENKIN_DET</t>
    <phoneticPr fontId="4"/>
  </si>
  <si>
    <t>T_CORP_KEIEISHA_RBUNSEKI</t>
    <phoneticPr fontId="4"/>
  </si>
  <si>
    <t>T_CORP_KENAOSI_SHIKIN</t>
    <phoneticPr fontId="4"/>
  </si>
  <si>
    <t>T_CORP_YAKUIN_TIROKIN</t>
    <phoneticPr fontId="4"/>
  </si>
  <si>
    <t>T_CORP_CASHF_KAIZE</t>
    <phoneticPr fontId="4"/>
  </si>
  <si>
    <t>法人統合の各種別（経営者リスク分析、経営立て直し資金試算、キャッシュフロー改善、経営立て直し＋ｷｬｯｼｭﾌﾛｰ改善）の基本入力情報を保管する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</si>
  <si>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</si>
  <si>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</si>
  <si>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T_CORP_KIHON_INFO</t>
    <phoneticPr fontId="4"/>
  </si>
  <si>
    <t>法人の経営者リスク分析結果を保管する</t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</si>
  <si>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</si>
  <si>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法人の経営者が亡くなった際の、経営立て直し資金試算結果を保管する</t>
  </si>
  <si>
    <t>法人の経営者が亡くなった際の、経営立て直し資金試算結果を保管する</t>
    <rPh sb="5" eb="6">
      <t>シャ</t>
    </rPh>
    <rPh sb="7" eb="8">
      <t>ナ</t>
    </rPh>
    <rPh sb="12" eb="13">
      <t>サイ</t>
    </rPh>
    <rPh sb="15" eb="17">
      <t>ケイエイ</t>
    </rPh>
    <rPh sb="17" eb="18">
      <t>タ</t>
    </rPh>
    <rPh sb="19" eb="20">
      <t>ナオ</t>
    </rPh>
    <rPh sb="21" eb="23">
      <t>シキン</t>
    </rPh>
    <rPh sb="23" eb="25">
      <t>シサン</t>
    </rPh>
    <rPh sb="25" eb="27">
      <t>ケッカ</t>
    </rPh>
    <phoneticPr fontId="4"/>
  </si>
  <si>
    <t>法人役員の退職慰労金の算出結果を保管する</t>
  </si>
  <si>
    <t>法人役員の退職慰労金の算出結果を保管する</t>
    <rPh sb="2" eb="4">
      <t>ヤクイン</t>
    </rPh>
    <rPh sb="5" eb="7">
      <t>タイショク</t>
    </rPh>
    <rPh sb="7" eb="10">
      <t>イロウキン</t>
    </rPh>
    <rPh sb="11" eb="13">
      <t>サンシュツ</t>
    </rPh>
    <rPh sb="13" eb="15">
      <t>ケッカ</t>
    </rPh>
    <rPh sb="16" eb="18">
      <t>ホカン</t>
    </rPh>
    <phoneticPr fontId="4"/>
  </si>
  <si>
    <t>法人のキャッシュフロー改善の算出結果を保管する</t>
  </si>
  <si>
    <t>法人のキャッシュフロー改善の算出結果を保管する</t>
    <rPh sb="11" eb="13">
      <t>カイゼン</t>
    </rPh>
    <phoneticPr fontId="4"/>
  </si>
  <si>
    <t>法人統合の各種別（経営者リスク分析、経営立て直し資金試算、キャッシュフロー改善、経営立て直し＋ｷｬｯｼｭﾌﾛｰ改善）の基本入力情報を保管する</t>
    <phoneticPr fontId="4"/>
  </si>
  <si>
    <t>法人基本情報</t>
    <phoneticPr fontId="4"/>
  </si>
  <si>
    <t>法人経営者の家族情報を保管する</t>
    <phoneticPr fontId="4"/>
  </si>
  <si>
    <t>法人プラン家族</t>
    <phoneticPr fontId="4"/>
  </si>
  <si>
    <t>法人経営者の年金加入履歴を保管する</t>
    <phoneticPr fontId="4"/>
  </si>
  <si>
    <t>法人プラン家族年金詳細</t>
    <phoneticPr fontId="4"/>
  </si>
  <si>
    <t>法人経営者リスク分析</t>
    <phoneticPr fontId="4"/>
  </si>
  <si>
    <t>法人経営立て直し資金試算</t>
    <phoneticPr fontId="4"/>
  </si>
  <si>
    <t>法人役員退職慰労金</t>
    <phoneticPr fontId="4"/>
  </si>
  <si>
    <t>法人キャッシュフロー改善</t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</si>
  <si>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</si>
  <si>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</si>
  <si>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</si>
  <si>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</si>
  <si>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</si>
  <si>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払込期間名称</t>
  </si>
  <si>
    <t>参考保険 払方名称</t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</si>
  <si>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</si>
  <si>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</si>
  <si>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</si>
  <si>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</si>
  <si>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</si>
  <si>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</si>
  <si>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</si>
  <si>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</si>
  <si>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</si>
  <si>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</si>
  <si>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</si>
  <si>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</si>
  <si>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</si>
  <si>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</si>
  <si>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</si>
  <si>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Varchar2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</si>
  <si>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</si>
  <si>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</si>
  <si>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</si>
  <si>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</si>
  <si>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</si>
  <si>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</si>
  <si>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選択</t>
    <rPh sb="0" eb="2">
      <t>センタク</t>
    </rPh>
    <phoneticPr fontId="4"/>
  </si>
  <si>
    <t>新規登録および更新時のシステム日時</t>
  </si>
  <si>
    <t>新規登録および更新時のシステム日時</t>
    <rPh sb="7" eb="9">
      <t>コウシン</t>
    </rPh>
    <rPh sb="15" eb="17">
      <t>ニチジ</t>
    </rPh>
    <phoneticPr fontId="4"/>
  </si>
  <si>
    <t>システム更新日時</t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</si>
  <si>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</si>
  <si>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</si>
  <si>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</si>
  <si>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半角６４文字</t>
    <rPh sb="0" eb="2">
      <t>ハンカク</t>
    </rPh>
    <rPh sb="4" eb="6">
      <t>モジ</t>
    </rPh>
    <phoneticPr fontId="4"/>
  </si>
  <si>
    <t>生年月日</t>
    <phoneticPr fontId="4"/>
  </si>
  <si>
    <t>続柄コード</t>
    <phoneticPr fontId="4"/>
  </si>
  <si>
    <t>性別コード</t>
    <phoneticPr fontId="4"/>
  </si>
  <si>
    <t>年収</t>
    <phoneticPr fontId="4"/>
  </si>
  <si>
    <t>退職予定年齢</t>
    <phoneticPr fontId="4"/>
  </si>
  <si>
    <t>平均余命</t>
    <phoneticPr fontId="4"/>
  </si>
  <si>
    <t>システム更新日時</t>
    <phoneticPr fontId="4"/>
  </si>
  <si>
    <t>新規登録および更新時のシステム日時</t>
    <phoneticPr fontId="4"/>
  </si>
  <si>
    <t>在宅老齢年金年次 年齢</t>
  </si>
  <si>
    <t>在宅老齢年金年次 年齢</t>
    <rPh sb="0" eb="2">
      <t>ザイタク</t>
    </rPh>
    <rPh sb="2" eb="4">
      <t>ロウレイ</t>
    </rPh>
    <rPh sb="4" eb="6">
      <t>ネンキン</t>
    </rPh>
    <rPh sb="6" eb="8">
      <t>ネンジ</t>
    </rPh>
    <phoneticPr fontId="4"/>
  </si>
  <si>
    <t>在宅老齢年金年次 西暦年</t>
  </si>
  <si>
    <t>在宅老齢年金年次 西暦年</t>
    <rPh sb="9" eb="11">
      <t>セイレキ</t>
    </rPh>
    <rPh sb="11" eb="12">
      <t>ネン</t>
    </rPh>
    <phoneticPr fontId="4"/>
  </si>
  <si>
    <t>在宅老齢年金年次 引下げ前年額</t>
  </si>
  <si>
    <t>在宅老齢年金年次 引下げ前年額</t>
    <phoneticPr fontId="4"/>
  </si>
  <si>
    <t>在宅老齢年金年次 引下げ後年額</t>
  </si>
  <si>
    <t>在宅老齢年金年次 引下げ後年額</t>
    <rPh sb="9" eb="11">
      <t>ヒキサ</t>
    </rPh>
    <rPh sb="12" eb="13">
      <t>アト</t>
    </rPh>
    <rPh sb="13" eb="15">
      <t>ネンガク</t>
    </rPh>
    <phoneticPr fontId="4"/>
  </si>
  <si>
    <t>在宅老齢年金年次</t>
  </si>
  <si>
    <t>額</t>
    <rPh sb="0" eb="1">
      <t>ガク</t>
    </rPh>
    <phoneticPr fontId="4"/>
  </si>
  <si>
    <t>ZTRRNKNJ</t>
    <phoneticPr fontId="4"/>
  </si>
  <si>
    <t>年齢</t>
    <rPh sb="0" eb="2">
      <t>ネンレイ</t>
    </rPh>
    <phoneticPr fontId="4"/>
  </si>
  <si>
    <t>金額</t>
    <rPh sb="0" eb="2">
      <t>キンガク</t>
    </rPh>
    <phoneticPr fontId="4"/>
  </si>
  <si>
    <t>総合改善効果</t>
    <phoneticPr fontId="4"/>
  </si>
  <si>
    <t>区分C3</t>
    <rPh sb="0" eb="2">
      <t>クブン</t>
    </rPh>
    <phoneticPr fontId="4"/>
  </si>
  <si>
    <t>区分C2</t>
  </si>
  <si>
    <t>区分C2</t>
    <rPh sb="0" eb="2">
      <t>クブン</t>
    </rPh>
    <phoneticPr fontId="4"/>
  </si>
  <si>
    <t>区分C1</t>
  </si>
  <si>
    <t>区分C1</t>
    <rPh sb="0" eb="2">
      <t>クブン</t>
    </rPh>
    <phoneticPr fontId="4"/>
  </si>
  <si>
    <t>Char</t>
    <phoneticPr fontId="4"/>
  </si>
  <si>
    <t>CAP</t>
    <phoneticPr fontId="4"/>
  </si>
  <si>
    <t>区分C1</t>
    <phoneticPr fontId="4"/>
  </si>
  <si>
    <t>2013/11/26 CAP</t>
    <phoneticPr fontId="4"/>
  </si>
  <si>
    <t>2013/11/26  CAP</t>
    <phoneticPr fontId="4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</si>
  <si>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4"/>
  </si>
  <si>
    <t>生年月日・年齢選択コード</t>
    <phoneticPr fontId="4"/>
  </si>
  <si>
    <t>コード</t>
    <phoneticPr fontId="4"/>
  </si>
  <si>
    <t>Char</t>
    <phoneticPr fontId="4"/>
  </si>
  <si>
    <t>分析種別コード</t>
    <rPh sb="0" eb="2">
      <t>ブンセキ</t>
    </rPh>
    <rPh sb="2" eb="4">
      <t>シュベツ</t>
    </rPh>
    <phoneticPr fontId="4"/>
  </si>
  <si>
    <t>コード</t>
    <phoneticPr fontId="4"/>
  </si>
  <si>
    <t>イメージ画像コード</t>
    <phoneticPr fontId="4"/>
  </si>
  <si>
    <t>イメージ画像コード</t>
    <phoneticPr fontId="4"/>
  </si>
  <si>
    <t>年金タイプコード</t>
    <phoneticPr fontId="4"/>
  </si>
  <si>
    <t>年金タイプコード</t>
    <phoneticPr fontId="4"/>
  </si>
  <si>
    <t>経営立て直し資金種別コード</t>
    <phoneticPr fontId="4"/>
  </si>
  <si>
    <t>経営立て直し資金種別コード</t>
    <phoneticPr fontId="4"/>
  </si>
  <si>
    <t>弔慰金算出係数区分コード</t>
    <phoneticPr fontId="4"/>
  </si>
  <si>
    <t>弔慰金算出係数区分コード</t>
    <rPh sb="7" eb="9">
      <t>クブン</t>
    </rPh>
    <phoneticPr fontId="4"/>
  </si>
  <si>
    <t>1/2実施有無コード</t>
    <rPh sb="5" eb="7">
      <t>ウム</t>
    </rPh>
    <phoneticPr fontId="4"/>
  </si>
  <si>
    <t>Varchar2</t>
    <phoneticPr fontId="4"/>
  </si>
  <si>
    <t>Varchar2</t>
    <phoneticPr fontId="4"/>
  </si>
  <si>
    <t>入力</t>
    <rPh sb="0" eb="2">
      <t>ニュウリョク</t>
    </rPh>
    <phoneticPr fontId="4"/>
  </si>
  <si>
    <t>入力</t>
    <phoneticPr fontId="4"/>
  </si>
  <si>
    <t>売上高予想</t>
    <rPh sb="0" eb="2">
      <t>ウリアゲ</t>
    </rPh>
    <rPh sb="2" eb="3">
      <t>ダカ</t>
    </rPh>
    <rPh sb="3" eb="5">
      <t>ヨソウ</t>
    </rPh>
    <phoneticPr fontId="4"/>
  </si>
  <si>
    <t>万一1年後売上予想比率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</si>
  <si>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万一2年後売上予想比率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</si>
  <si>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万一3年後売上予想比率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</si>
  <si>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算出表示</t>
    <rPh sb="0" eb="2">
      <t>サンシュツ</t>
    </rPh>
    <rPh sb="2" eb="4">
      <t>ヒョウジ</t>
    </rPh>
    <phoneticPr fontId="4"/>
  </si>
  <si>
    <t>入力⇒親テーブルへ移設</t>
    <rPh sb="0" eb="2">
      <t>ニュウリョク</t>
    </rPh>
    <rPh sb="3" eb="4">
      <t>オヤ</t>
    </rPh>
    <rPh sb="9" eb="11">
      <t>イセツ</t>
    </rPh>
    <phoneticPr fontId="4"/>
  </si>
  <si>
    <t>算出表示</t>
    <phoneticPr fontId="4"/>
  </si>
  <si>
    <r>
      <t>経営立て直し資金</t>
    </r>
    <r>
      <rPr>
        <strike/>
        <sz val="10"/>
        <color rgb="FFFF0000"/>
        <rFont val="MS UI Gothic"/>
        <family val="3"/>
        <charset val="128"/>
      </rPr>
      <t>(入力)</t>
    </r>
    <phoneticPr fontId="4"/>
  </si>
  <si>
    <t>固定表示</t>
    <rPh sb="0" eb="2">
      <t>コテイ</t>
    </rPh>
    <rPh sb="2" eb="4">
      <t>ヒョウジ</t>
    </rPh>
    <phoneticPr fontId="4"/>
  </si>
  <si>
    <t>固定表示</t>
    <phoneticPr fontId="4"/>
  </si>
  <si>
    <t>入力⑧⑨</t>
  </si>
  <si>
    <t>入力⑧⑨⑩⑪</t>
    <rPh sb="0" eb="2">
      <t>ニュウリョク</t>
    </rPh>
    <phoneticPr fontId="4"/>
  </si>
  <si>
    <t>入力⑧⑨⑩⑪</t>
    <phoneticPr fontId="4"/>
  </si>
  <si>
    <t>入力　 　 ⑩⑪</t>
    <rPh sb="0" eb="2">
      <t>ニュウリョク</t>
    </rPh>
    <phoneticPr fontId="4"/>
  </si>
  <si>
    <t>入力　 ⑨⑩⑪</t>
    <phoneticPr fontId="4"/>
  </si>
  <si>
    <t>入力⑧　 ⑩⑪</t>
    <phoneticPr fontId="4"/>
  </si>
  <si>
    <t>入力　 ⑨　 ⑪</t>
    <phoneticPr fontId="4"/>
  </si>
  <si>
    <t>算出表示⑩⑪</t>
    <rPh sb="0" eb="2">
      <t>サンシュツ</t>
    </rPh>
    <rPh sb="2" eb="4">
      <t>ヒョウジ</t>
    </rPh>
    <phoneticPr fontId="4"/>
  </si>
  <si>
    <t>⑧経営者リスク分析</t>
    <rPh sb="1" eb="4">
      <t>ケイエイシャ</t>
    </rPh>
    <rPh sb="7" eb="9">
      <t>ブンセキ</t>
    </rPh>
    <phoneticPr fontId="4"/>
  </si>
  <si>
    <t>⑨退職慰労金</t>
    <rPh sb="1" eb="3">
      <t>タイショク</t>
    </rPh>
    <rPh sb="3" eb="6">
      <t>イロウキン</t>
    </rPh>
    <phoneticPr fontId="4"/>
  </si>
  <si>
    <t>⑩ｷｬｯｼｭﾌﾛｰ改善</t>
    <rPh sb="9" eb="11">
      <t>カイゼン</t>
    </rPh>
    <phoneticPr fontId="4"/>
  </si>
  <si>
    <t>⑪退職慰労金＋ｷｬｯｼｭﾌﾛｰ改善</t>
    <rPh sb="1" eb="3">
      <t>タイショク</t>
    </rPh>
    <rPh sb="3" eb="6">
      <t>イロウキン</t>
    </rPh>
    <rPh sb="15" eb="17">
      <t>カイゼン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</si>
</sst>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6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trike/>
      <sz val="10"/>
      <color rgb="FFFF0000"/>
      <name val="MS UI Gothic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45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wrapText="1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53" fillId="0" borderId="7" xfId="0" applyFont="1" applyFill="1" applyBorder="1" applyAlignment="1">
      <alignment vertical="center"/>
    </xf>
    <xf numFmtId="49" fontId="23" fillId="9" borderId="75" xfId="3" applyNumberFormat="1" applyFont="1" applyFill="1" applyBorder="1" applyProtection="1">
      <protection locked="0"/>
    </xf>
    <xf numFmtId="49" fontId="23" fillId="9" borderId="76" xfId="3" applyNumberFormat="1" applyFont="1" applyFill="1" applyBorder="1" applyProtection="1">
      <protection locked="0"/>
    </xf>
    <xf numFmtId="49" fontId="23" fillId="9" borderId="77" xfId="3" applyNumberFormat="1" applyFont="1" applyFill="1" applyBorder="1" applyProtection="1">
      <protection locked="0"/>
    </xf>
    <xf numFmtId="49" fontId="23" fillId="9" borderId="78" xfId="3" applyNumberFormat="1" applyFont="1" applyFill="1" applyBorder="1" applyProtection="1">
      <protection locked="0"/>
    </xf>
    <xf numFmtId="0" fontId="24" fillId="17" borderId="2" xfId="3" applyFont="1" applyFill="1" applyBorder="1"/>
    <xf numFmtId="177" fontId="23" fillId="17" borderId="2" xfId="3" applyNumberFormat="1" applyFont="1" applyFill="1" applyBorder="1" applyAlignment="1">
      <alignment horizontal="center"/>
    </xf>
    <xf numFmtId="0" fontId="23" fillId="17" borderId="2" xfId="3" applyFont="1" applyFill="1" applyBorder="1"/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7" fillId="3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3" fillId="18" borderId="2" xfId="0" applyFont="1" applyFill="1" applyBorder="1" applyAlignment="1">
      <alignment vertical="center"/>
    </xf>
    <xf numFmtId="0" fontId="5" fillId="18" borderId="1" xfId="0" applyFont="1" applyFill="1" applyBorder="1" applyAlignment="1">
      <alignment horizontal="left" vertical="center"/>
    </xf>
    <xf numFmtId="0" fontId="5" fillId="18" borderId="12" xfId="0" applyFont="1" applyFill="1" applyBorder="1" applyAlignment="1">
      <alignment horizontal="left" vertical="center"/>
    </xf>
    <xf numFmtId="0" fontId="5" fillId="18" borderId="22" xfId="0" applyFont="1" applyFill="1" applyBorder="1" applyAlignment="1">
      <alignment horizontal="left" vertical="center"/>
    </xf>
    <xf numFmtId="0" fontId="55" fillId="18" borderId="1" xfId="0" applyFont="1" applyFill="1" applyBorder="1" applyAlignment="1">
      <alignment horizontal="left" vertical="center" shrinkToFit="1"/>
    </xf>
    <xf numFmtId="0" fontId="55" fillId="18" borderId="12" xfId="0" applyFont="1" applyFill="1" applyBorder="1" applyAlignment="1">
      <alignment horizontal="left" vertical="center" shrinkToFit="1"/>
    </xf>
    <xf numFmtId="0" fontId="55" fillId="18" borderId="22" xfId="0" applyFont="1" applyFill="1" applyBorder="1" applyAlignment="1">
      <alignment horizontal="left" vertical="center" shrinkToFit="1"/>
    </xf>
    <xf numFmtId="0" fontId="37" fillId="18" borderId="1" xfId="0" applyFont="1" applyFill="1" applyBorder="1" applyAlignment="1">
      <alignment vertical="center"/>
    </xf>
    <xf numFmtId="0" fontId="37" fillId="18" borderId="22" xfId="0" applyFont="1" applyFill="1" applyBorder="1" applyAlignment="1">
      <alignment vertical="center"/>
    </xf>
    <xf numFmtId="0" fontId="5" fillId="18" borderId="6" xfId="0" applyFont="1" applyFill="1" applyBorder="1" applyAlignment="1">
      <alignment vertical="center"/>
    </xf>
    <xf numFmtId="0" fontId="5" fillId="18" borderId="7" xfId="0" applyFont="1" applyFill="1" applyBorder="1" applyAlignment="1">
      <alignment vertical="center"/>
    </xf>
    <xf numFmtId="0" fontId="5" fillId="18" borderId="5" xfId="0" applyFont="1" applyFill="1" applyBorder="1" applyAlignment="1">
      <alignment horizontal="center" vertical="center"/>
    </xf>
    <xf numFmtId="0" fontId="5" fillId="18" borderId="38" xfId="0" applyNumberFormat="1" applyFont="1" applyFill="1" applyBorder="1" applyAlignment="1">
      <alignment vertical="center"/>
    </xf>
    <xf numFmtId="0" fontId="5" fillId="18" borderId="39" xfId="0" applyNumberFormat="1" applyFont="1" applyFill="1" applyBorder="1" applyAlignment="1">
      <alignment vertical="center"/>
    </xf>
    <xf numFmtId="0" fontId="5" fillId="18" borderId="7" xfId="0" applyNumberFormat="1" applyFont="1" applyFill="1" applyBorder="1" applyAlignment="1">
      <alignment vertical="center"/>
    </xf>
    <xf numFmtId="0" fontId="5" fillId="18" borderId="5" xfId="0" applyNumberFormat="1" applyFont="1" applyFill="1" applyBorder="1" applyAlignment="1">
      <alignment vertical="top" wrapText="1"/>
    </xf>
    <xf numFmtId="0" fontId="3" fillId="18" borderId="2" xfId="0" applyFont="1" applyFill="1" applyBorder="1" applyAlignment="1">
      <alignment vertical="top" wrapText="1"/>
    </xf>
    <xf numFmtId="0" fontId="0" fillId="18" borderId="0" xfId="0" applyFill="1">
      <alignment vertical="center"/>
    </xf>
    <xf numFmtId="0" fontId="5" fillId="18" borderId="2" xfId="0" applyFont="1" applyFill="1" applyBorder="1" applyAlignment="1">
      <alignment vertical="center"/>
    </xf>
    <xf numFmtId="0" fontId="0" fillId="18" borderId="0" xfId="0" applyFill="1" applyAlignment="1">
      <alignment vertical="center" wrapText="1"/>
    </xf>
    <xf numFmtId="0" fontId="17" fillId="0" borderId="2" xfId="0" applyFont="1" applyBorder="1" applyAlignment="1">
      <alignment vertical="center"/>
    </xf>
    <xf numFmtId="0" fontId="17" fillId="0" borderId="1" xfId="0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left" vertical="center"/>
    </xf>
    <xf numFmtId="0" fontId="17" fillId="0" borderId="22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 shrinkToFit="1"/>
    </xf>
    <xf numFmtId="0" fontId="38" fillId="0" borderId="12" xfId="0" applyFont="1" applyFill="1" applyBorder="1" applyAlignment="1">
      <alignment horizontal="left" vertical="center" shrinkToFit="1"/>
    </xf>
    <xf numFmtId="0" fontId="38" fillId="0" borderId="22" xfId="0" applyFont="1" applyFill="1" applyBorder="1" applyAlignment="1">
      <alignment horizontal="left" vertical="center" shrinkToFit="1"/>
    </xf>
    <xf numFmtId="0" fontId="59" fillId="0" borderId="1" xfId="0" applyFont="1" applyFill="1" applyBorder="1" applyAlignment="1">
      <alignment vertical="center"/>
    </xf>
    <xf numFmtId="0" fontId="59" fillId="0" borderId="22" xfId="0" applyFont="1" applyFill="1" applyBorder="1" applyAlignment="1">
      <alignment vertical="center"/>
    </xf>
    <xf numFmtId="0" fontId="17" fillId="0" borderId="6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/>
    </xf>
    <xf numFmtId="0" fontId="17" fillId="0" borderId="5" xfId="0" applyFont="1" applyFill="1" applyBorder="1" applyAlignment="1">
      <alignment horizontal="center" vertical="center"/>
    </xf>
    <xf numFmtId="0" fontId="17" fillId="0" borderId="38" xfId="0" applyNumberFormat="1" applyFont="1" applyFill="1" applyBorder="1" applyAlignment="1">
      <alignment vertical="center"/>
    </xf>
    <xf numFmtId="0" fontId="17" fillId="0" borderId="39" xfId="0" applyNumberFormat="1" applyFont="1" applyFill="1" applyBorder="1" applyAlignment="1">
      <alignment vertical="center"/>
    </xf>
    <xf numFmtId="0" fontId="17" fillId="0" borderId="7" xfId="0" applyNumberFormat="1" applyFont="1" applyFill="1" applyBorder="1" applyAlignment="1">
      <alignment vertical="center"/>
    </xf>
    <xf numFmtId="0" fontId="17" fillId="0" borderId="2" xfId="0" applyFont="1" applyFill="1" applyBorder="1" applyAlignment="1">
      <alignment vertical="top" wrapText="1"/>
    </xf>
    <xf numFmtId="0" fontId="22" fillId="0" borderId="0" xfId="0" applyFont="1" applyAlignment="1">
      <alignment vertical="center" wrapText="1"/>
    </xf>
    <xf numFmtId="0" fontId="17" fillId="3" borderId="2" xfId="0" applyFont="1" applyFill="1" applyBorder="1" applyAlignment="1">
      <alignment vertical="center"/>
    </xf>
    <xf numFmtId="0" fontId="17" fillId="3" borderId="1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horizontal="left" vertical="center"/>
    </xf>
    <xf numFmtId="0" fontId="17" fillId="3" borderId="22" xfId="0" applyFont="1" applyFill="1" applyBorder="1" applyAlignment="1">
      <alignment horizontal="left" vertical="center"/>
    </xf>
    <xf numFmtId="0" fontId="38" fillId="5" borderId="1" xfId="0" applyFont="1" applyFill="1" applyBorder="1" applyAlignment="1">
      <alignment horizontal="left" vertical="center" shrinkToFit="1"/>
    </xf>
    <xf numFmtId="0" fontId="38" fillId="5" borderId="12" xfId="0" applyFont="1" applyFill="1" applyBorder="1" applyAlignment="1">
      <alignment horizontal="left" vertical="center" shrinkToFit="1"/>
    </xf>
    <xf numFmtId="0" fontId="38" fillId="5" borderId="22" xfId="0" applyFont="1" applyFill="1" applyBorder="1" applyAlignment="1">
      <alignment horizontal="left" vertical="center" shrinkToFit="1"/>
    </xf>
    <xf numFmtId="0" fontId="59" fillId="3" borderId="1" xfId="0" applyFont="1" applyFill="1" applyBorder="1" applyAlignment="1">
      <alignment vertical="center"/>
    </xf>
    <xf numFmtId="0" fontId="59" fillId="5" borderId="22" xfId="0" applyFont="1" applyFill="1" applyBorder="1" applyAlignment="1">
      <alignment vertical="center"/>
    </xf>
    <xf numFmtId="0" fontId="17" fillId="5" borderId="6" xfId="0" applyFont="1" applyFill="1" applyBorder="1" applyAlignment="1">
      <alignment vertical="center"/>
    </xf>
    <xf numFmtId="0" fontId="17" fillId="5" borderId="7" xfId="0" applyFont="1" applyFill="1" applyBorder="1" applyAlignment="1">
      <alignment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38" xfId="0" applyNumberFormat="1" applyFont="1" applyFill="1" applyBorder="1" applyAlignment="1">
      <alignment vertical="center"/>
    </xf>
    <xf numFmtId="0" fontId="17" fillId="5" borderId="39" xfId="0" applyNumberFormat="1" applyFont="1" applyFill="1" applyBorder="1" applyAlignment="1">
      <alignment vertical="center"/>
    </xf>
    <xf numFmtId="0" fontId="17" fillId="5" borderId="7" xfId="0" applyNumberFormat="1" applyFont="1" applyFill="1" applyBorder="1" applyAlignment="1">
      <alignment vertical="center"/>
    </xf>
    <xf numFmtId="0" fontId="17" fillId="5" borderId="5" xfId="0" applyNumberFormat="1" applyFont="1" applyFill="1" applyBorder="1" applyAlignment="1">
      <alignment vertical="top" wrapText="1"/>
    </xf>
    <xf numFmtId="0" fontId="17" fillId="5" borderId="2" xfId="0" applyFont="1" applyFill="1" applyBorder="1" applyAlignment="1">
      <alignment vertical="top" wrapText="1"/>
    </xf>
    <xf numFmtId="0" fontId="22" fillId="0" borderId="0" xfId="0" applyFont="1">
      <alignment vertical="center"/>
    </xf>
    <xf numFmtId="0" fontId="3" fillId="18" borderId="6" xfId="0" applyFont="1" applyFill="1" applyBorder="1" applyAlignment="1">
      <alignment vertical="center"/>
    </xf>
    <xf numFmtId="0" fontId="3" fillId="18" borderId="7" xfId="0" applyFont="1" applyFill="1" applyBorder="1" applyAlignment="1">
      <alignment vertical="center"/>
    </xf>
    <xf numFmtId="0" fontId="3" fillId="18" borderId="5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left" vertical="center" shrinkToFit="1"/>
    </xf>
    <xf numFmtId="0" fontId="5" fillId="18" borderId="12" xfId="0" applyFont="1" applyFill="1" applyBorder="1" applyAlignment="1">
      <alignment horizontal="left" vertical="center" shrinkToFit="1"/>
    </xf>
    <xf numFmtId="0" fontId="5" fillId="18" borderId="22" xfId="0" applyFont="1" applyFill="1" applyBorder="1" applyAlignment="1">
      <alignment horizontal="left" vertical="center" shrinkToFit="1"/>
    </xf>
    <xf numFmtId="0" fontId="3" fillId="18" borderId="1" xfId="0" applyFont="1" applyFill="1" applyBorder="1" applyAlignment="1">
      <alignment vertical="top" wrapText="1"/>
    </xf>
    <xf numFmtId="0" fontId="3" fillId="18" borderId="12" xfId="0" applyFont="1" applyFill="1" applyBorder="1" applyAlignment="1">
      <alignment vertical="top" wrapText="1"/>
    </xf>
    <xf numFmtId="0" fontId="3" fillId="18" borderId="22" xfId="0" applyFont="1" applyFill="1" applyBorder="1" applyAlignment="1">
      <alignment vertical="top" wrapText="1"/>
    </xf>
    <xf numFmtId="0" fontId="17" fillId="18" borderId="38" xfId="0" applyNumberFormat="1" applyFont="1" applyFill="1" applyBorder="1" applyAlignment="1">
      <alignment vertical="center"/>
    </xf>
    <xf numFmtId="0" fontId="17" fillId="18" borderId="39" xfId="0" applyNumberFormat="1" applyFont="1" applyFill="1" applyBorder="1" applyAlignment="1">
      <alignment vertical="center"/>
    </xf>
    <xf numFmtId="0" fontId="17" fillId="18" borderId="7" xfId="0" applyNumberFormat="1" applyFont="1" applyFill="1" applyBorder="1" applyAlignment="1">
      <alignment vertical="center"/>
    </xf>
    <xf numFmtId="0" fontId="5" fillId="18" borderId="5" xfId="0" applyFont="1" applyFill="1" applyBorder="1" applyAlignment="1">
      <alignment vertical="center"/>
    </xf>
    <xf numFmtId="0" fontId="5" fillId="18" borderId="35" xfId="0" applyFont="1" applyFill="1" applyBorder="1" applyAlignment="1">
      <alignment horizontal="left" vertical="center"/>
    </xf>
    <xf numFmtId="0" fontId="5" fillId="18" borderId="36" xfId="0" applyFont="1" applyFill="1" applyBorder="1" applyAlignment="1">
      <alignment horizontal="left" vertical="center"/>
    </xf>
    <xf numFmtId="0" fontId="5" fillId="18" borderId="37" xfId="0" applyFont="1" applyFill="1" applyBorder="1" applyAlignment="1">
      <alignment horizontal="left" vertical="center"/>
    </xf>
    <xf numFmtId="0" fontId="56" fillId="18" borderId="35" xfId="0" applyFont="1" applyFill="1" applyBorder="1" applyAlignment="1">
      <alignment vertical="center"/>
    </xf>
    <xf numFmtId="0" fontId="56" fillId="18" borderId="37" xfId="0" applyFont="1" applyFill="1" applyBorder="1" applyAlignment="1">
      <alignment vertical="center"/>
    </xf>
    <xf numFmtId="0" fontId="5" fillId="18" borderId="35" xfId="0" applyNumberFormat="1" applyFont="1" applyFill="1" applyBorder="1" applyAlignment="1">
      <alignment vertical="center"/>
    </xf>
    <xf numFmtId="0" fontId="5" fillId="18" borderId="36" xfId="0" applyNumberFormat="1" applyFont="1" applyFill="1" applyBorder="1" applyAlignment="1">
      <alignment vertical="center"/>
    </xf>
    <xf numFmtId="0" fontId="5" fillId="18" borderId="37" xfId="0" applyNumberFormat="1" applyFont="1" applyFill="1" applyBorder="1" applyAlignment="1">
      <alignment vertical="center"/>
    </xf>
    <xf numFmtId="0" fontId="5" fillId="18" borderId="5" xfId="0" applyFont="1" applyFill="1" applyBorder="1" applyAlignment="1">
      <alignment vertical="top" wrapText="1"/>
    </xf>
    <xf numFmtId="0" fontId="3" fillId="18" borderId="5" xfId="0" applyFont="1" applyFill="1" applyBorder="1" applyAlignment="1">
      <alignment vertical="top" wrapText="1"/>
    </xf>
    <xf numFmtId="0" fontId="17" fillId="18" borderId="5" xfId="0" applyNumberFormat="1" applyFont="1" applyFill="1" applyBorder="1" applyAlignment="1">
      <alignment vertical="top" wrapText="1"/>
    </xf>
    <xf numFmtId="0" fontId="3" fillId="18" borderId="5" xfId="0" applyNumberFormat="1" applyFont="1" applyFill="1" applyBorder="1" applyAlignment="1">
      <alignment vertical="top" wrapText="1"/>
    </xf>
    <xf numFmtId="0" fontId="17" fillId="18" borderId="35" xfId="0" applyNumberFormat="1" applyFont="1" applyFill="1" applyBorder="1" applyAlignment="1">
      <alignment vertical="center"/>
    </xf>
    <xf numFmtId="0" fontId="17" fillId="18" borderId="36" xfId="0" applyNumberFormat="1" applyFont="1" applyFill="1" applyBorder="1" applyAlignment="1">
      <alignment vertical="center"/>
    </xf>
    <xf numFmtId="0" fontId="17" fillId="18" borderId="37" xfId="0" applyNumberFormat="1" applyFont="1" applyFill="1" applyBorder="1" applyAlignment="1">
      <alignment vertical="center"/>
    </xf>
    <xf numFmtId="0" fontId="5" fillId="18" borderId="1" xfId="0" applyNumberFormat="1" applyFont="1" applyFill="1" applyBorder="1" applyAlignment="1">
      <alignment vertical="center"/>
    </xf>
    <xf numFmtId="0" fontId="5" fillId="18" borderId="12" xfId="0" applyNumberFormat="1" applyFont="1" applyFill="1" applyBorder="1" applyAlignment="1">
      <alignment vertical="center"/>
    </xf>
    <xf numFmtId="0" fontId="5" fillId="18" borderId="22" xfId="0" applyNumberFormat="1" applyFont="1" applyFill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76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0" t="s">
        <v>0</v>
      </c>
      <c r="B1" s="281"/>
      <c r="C1" s="281"/>
      <c r="D1" s="281"/>
      <c r="E1" s="281"/>
      <c r="F1" s="16"/>
      <c r="G1" s="17"/>
    </row>
    <row r="2" spans="1:8" ht="20.100000000000001" customHeight="1">
      <c r="A2" s="282" t="s">
        <v>24</v>
      </c>
      <c r="B2" s="283"/>
      <c r="C2" s="283"/>
      <c r="D2" s="284"/>
      <c r="E2" s="284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6416</v>
      </c>
      <c r="G4" s="17" t="s">
        <v>19</v>
      </c>
      <c r="H4" s="43"/>
    </row>
    <row r="5" spans="1:8" s="24" customFormat="1" ht="24">
      <c r="A5" s="22">
        <f>IF(B5="","",ROW()-4)</f>
        <v>1</v>
      </c>
      <c r="B5" s="25" t="s">
        <v>6949</v>
      </c>
      <c r="C5" s="269" t="s">
        <v>6939</v>
      </c>
      <c r="D5" s="23">
        <v>25</v>
      </c>
      <c r="E5" s="23" t="s">
        <v>6948</v>
      </c>
      <c r="F5" s="270" t="s">
        <v>6811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6951</v>
      </c>
      <c r="C6" s="269" t="s">
        <v>6930</v>
      </c>
      <c r="D6" s="23">
        <v>16</v>
      </c>
      <c r="E6" s="23" t="s">
        <v>6950</v>
      </c>
      <c r="F6" s="270" t="s">
        <v>6810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6953</v>
      </c>
      <c r="C7" s="269" t="s">
        <v>6931</v>
      </c>
      <c r="D7" s="23">
        <v>12</v>
      </c>
      <c r="E7" s="23" t="s">
        <v>6952</v>
      </c>
      <c r="F7" s="270" t="s">
        <v>6810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6954</v>
      </c>
      <c r="C8" s="269" t="s">
        <v>6932</v>
      </c>
      <c r="D8" s="23">
        <v>19</v>
      </c>
      <c r="E8" s="23" t="s">
        <v>6940</v>
      </c>
      <c r="F8" s="270" t="s">
        <v>6810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6955</v>
      </c>
      <c r="C9" s="269" t="s">
        <v>6933</v>
      </c>
      <c r="D9" s="23">
        <v>10</v>
      </c>
      <c r="E9" s="23" t="s">
        <v>6942</v>
      </c>
      <c r="F9" s="270" t="s">
        <v>6810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6956</v>
      </c>
      <c r="C10" s="269" t="s">
        <v>6934</v>
      </c>
      <c r="D10" s="23">
        <v>18</v>
      </c>
      <c r="E10" s="23" t="s">
        <v>6944</v>
      </c>
      <c r="F10" s="270" t="s">
        <v>6810</v>
      </c>
      <c r="G10" s="21"/>
      <c r="H10" s="44" t="s">
        <v>22</v>
      </c>
    </row>
    <row r="11" spans="1:8" s="24" customFormat="1">
      <c r="A11" s="22">
        <f t="shared" si="0"/>
        <v>7</v>
      </c>
      <c r="B11" s="25" t="s">
        <v>6957</v>
      </c>
      <c r="C11" s="269" t="s">
        <v>6935</v>
      </c>
      <c r="D11" s="23">
        <v>45</v>
      </c>
      <c r="E11" s="23" t="s">
        <v>6946</v>
      </c>
      <c r="F11" s="270" t="s">
        <v>6810</v>
      </c>
      <c r="G11" s="21"/>
      <c r="H11" s="44" t="s">
        <v>22</v>
      </c>
    </row>
    <row r="12" spans="1:8" s="24" customFormat="1">
      <c r="A12" s="22" t="str">
        <f t="shared" si="0"/>
        <v/>
      </c>
      <c r="B12" s="23"/>
      <c r="C12" s="269"/>
      <c r="D12" s="23"/>
      <c r="E12" s="23"/>
      <c r="F12" s="270"/>
      <c r="G12" s="21"/>
      <c r="H12" s="44"/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試算'!a1" display="法人経営立て直し資金試算"/>
    <hyperlink ref="B10" location="'法人役員退職慰労金'!a1" display="法人役員退職慰労金"/>
    <hyperlink ref="B11" location="'法人キャッシュフロー改善'!a1" display="法人キャッシュフロー改善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30"/>
  <sheetViews>
    <sheetView tabSelected="1"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A19" sqref="A19:XFD20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5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133</v>
      </c>
      <c r="J2" s="325"/>
      <c r="K2" s="325"/>
      <c r="L2" s="325"/>
      <c r="M2" s="325"/>
      <c r="N2" s="325"/>
      <c r="O2" s="325"/>
      <c r="P2" s="326" t="str">
        <f>VLOOKUP(I2,単語,2,FALSE)</f>
        <v>T_CORP_KIHON_INFO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27" t="s">
        <v>25</v>
      </c>
      <c r="X2" s="325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6936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" t="s">
        <v>11</v>
      </c>
      <c r="N4" s="7" t="s">
        <v>12</v>
      </c>
      <c r="O4" s="7" t="s">
        <v>13</v>
      </c>
      <c r="P4" s="7" t="s">
        <v>14</v>
      </c>
      <c r="Q4" s="313" t="s">
        <v>15</v>
      </c>
      <c r="R4" s="313"/>
      <c r="S4" s="313"/>
      <c r="T4" s="313"/>
      <c r="U4" s="313"/>
      <c r="V4" s="7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>ROW()-4</f>
        <v>1</v>
      </c>
      <c r="B5" s="317" t="s">
        <v>6465</v>
      </c>
      <c r="C5" s="318"/>
      <c r="D5" s="318"/>
      <c r="E5" s="318"/>
      <c r="F5" s="319"/>
      <c r="G5" s="300" t="str">
        <f>IF(ISNA(VLOOKUP($B5,単語,2,FALSE)),"",(VLOOKUP($B5,単語,2,FALSE)))</f>
        <v>PLAN_ID</v>
      </c>
      <c r="H5" s="301"/>
      <c r="I5" s="301"/>
      <c r="J5" s="302"/>
      <c r="K5" s="320" t="str">
        <f>IF(ISNA(VLOOKUP($B5,単語,4,FALSE)),"",(VLOOKUP($B5,単語,4,FALSE)))</f>
        <v>Varchar2</v>
      </c>
      <c r="L5" s="321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8">
        <f>ROW()-4</f>
        <v>2</v>
      </c>
      <c r="B6" s="289" t="s">
        <v>1513</v>
      </c>
      <c r="C6" s="290"/>
      <c r="D6" s="290"/>
      <c r="E6" s="290"/>
      <c r="F6" s="291"/>
      <c r="G6" s="292" t="str">
        <f>IF(ISNA(VLOOKUP($B6,単語,2,FALSE)),"",(VLOOKUP($B6,単語,2,FALSE)))</f>
        <v>AGENT_ID</v>
      </c>
      <c r="H6" s="293"/>
      <c r="I6" s="293"/>
      <c r="J6" s="294"/>
      <c r="K6" s="311" t="s">
        <v>6253</v>
      </c>
      <c r="L6" s="312"/>
      <c r="M6" s="236">
        <v>8</v>
      </c>
      <c r="N6" s="35" t="str">
        <f>IF(ISNA(VLOOKUP($B6,単語,6,FALSE)),"",IF(ISBLANK(VLOOKUP($B6,単語,6,FALSE)),"",(VLOOKUP($B6,単語,6,FALSE))))</f>
        <v/>
      </c>
      <c r="O6" s="36"/>
      <c r="P6" s="36"/>
      <c r="Q6" s="285"/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>
      <c r="A7" s="4">
        <f>ROW()-4</f>
        <v>3</v>
      </c>
      <c r="B7" s="297" t="s">
        <v>3995</v>
      </c>
      <c r="C7" s="298"/>
      <c r="D7" s="298"/>
      <c r="E7" s="298"/>
      <c r="F7" s="299"/>
      <c r="G7" s="300" t="str">
        <f>IF(ISNA(VLOOKUP($B7,単語,2,FALSE)),"",(VLOOKUP($B7,単語,2,FALSE)))</f>
        <v>CUST_ID</v>
      </c>
      <c r="H7" s="301"/>
      <c r="I7" s="301"/>
      <c r="J7" s="302"/>
      <c r="K7" s="308" t="s">
        <v>6253</v>
      </c>
      <c r="L7" s="309"/>
      <c r="M7" s="242">
        <v>30</v>
      </c>
      <c r="N7" s="39" t="str">
        <f>IF(ISNA(VLOOKUP($B7,単語,6,FALSE)),"",IF(ISBLANK(VLOOKUP($B7,単語,6,FALSE)),"",(VLOOKUP($B7,単語,6,FALSE))))</f>
        <v/>
      </c>
      <c r="O7" s="40"/>
      <c r="P7" s="40"/>
      <c r="Q7" s="305"/>
      <c r="R7" s="306"/>
      <c r="S7" s="306"/>
      <c r="T7" s="306"/>
      <c r="U7" s="307"/>
      <c r="V7" s="41"/>
      <c r="W7" s="310"/>
      <c r="X7" s="310"/>
      <c r="Y7" s="310"/>
      <c r="Z7" s="310"/>
      <c r="AA7" s="310"/>
      <c r="AB7" s="310"/>
    </row>
    <row r="8" spans="1:28" s="2" customFormat="1">
      <c r="A8" s="14">
        <f>ROW()-4</f>
        <v>4</v>
      </c>
      <c r="B8" s="289" t="s">
        <v>7031</v>
      </c>
      <c r="C8" s="290"/>
      <c r="D8" s="290"/>
      <c r="E8" s="290"/>
      <c r="F8" s="291"/>
      <c r="G8" s="292" t="str">
        <f>IF(ISNA(VLOOKUP($B8,単語,2,FALSE)),"",(VLOOKUP($B8,単語,2,FALSE)))</f>
        <v>BUNSEKI_SB_CD</v>
      </c>
      <c r="H8" s="293"/>
      <c r="I8" s="293"/>
      <c r="J8" s="294"/>
      <c r="K8" s="295" t="str">
        <f>IF(ISNA(VLOOKUP($B8,単語,4,FALSE)),"",(VLOOKUP($B8,単語,4,FALSE)))</f>
        <v>Char</v>
      </c>
      <c r="L8" s="296"/>
      <c r="M8" s="236">
        <f>IF(ISNA(VLOOKUP($B8,単語,5,FALSE)),"",IF(ISBLANK(VLOOKUP($B8,単語,5,FALSE)),"",(VLOOKUP($B8,単語,5,FALSE))))</f>
        <v>2</v>
      </c>
      <c r="N8" s="35" t="str">
        <f>IF(ISNA(VLOOKUP($B8,単語,6,FALSE)),"",IF(ISBLANK(VLOOKUP($B8,単語,6,FALSE)),"",(VLOOKUP($B8,単語,6,FALSE))))</f>
        <v/>
      </c>
      <c r="O8" s="36"/>
      <c r="P8" s="36"/>
      <c r="Q8" s="285"/>
      <c r="R8" s="286"/>
      <c r="S8" s="286"/>
      <c r="T8" s="286"/>
      <c r="U8" s="287"/>
      <c r="V8" s="37"/>
      <c r="W8" s="288"/>
      <c r="X8" s="288"/>
      <c r="Y8" s="288"/>
      <c r="Z8" s="288"/>
      <c r="AA8" s="288"/>
      <c r="AB8" s="288"/>
    </row>
    <row r="9" spans="1:28">
      <c r="A9" s="4">
        <f>ROW()-4</f>
        <v>5</v>
      </c>
      <c r="B9" s="297" t="s">
        <v>6921</v>
      </c>
      <c r="C9" s="298"/>
      <c r="D9" s="298"/>
      <c r="E9" s="298"/>
      <c r="F9" s="299"/>
      <c r="G9" s="300" t="str">
        <f>IF(ISNA(VLOOKUP($B9,単語,2,FALSE)),"",(VLOOKUP($B9,単語,2,FALSE)))</f>
        <v>BUNSEKI_CREATE_DATE</v>
      </c>
      <c r="H9" s="301"/>
      <c r="I9" s="301"/>
      <c r="J9" s="302"/>
      <c r="K9" s="303" t="str">
        <f>IF(ISNA(VLOOKUP($B9,単語,4,FALSE)),"",(VLOOKUP($B9,単語,4,FALSE)))</f>
        <v>Date</v>
      </c>
      <c r="L9" s="304"/>
      <c r="M9" s="38" t="str">
        <f>IF(ISNA(VLOOKUP($B9,単語,5,FALSE)),"",IF(ISBLANK(VLOOKUP($B9,単語,5,FALSE)),"",(VLOOKUP($B9,単語,5,FALSE))))</f>
        <v>　</v>
      </c>
      <c r="N9" s="39" t="str">
        <f>IF(ISNA(VLOOKUP($B9,単語,6,FALSE)),"",IF(ISBLANK(VLOOKUP($B9,単語,6,FALSE)),"",(VLOOKUP($B9,単語,6,FALSE))))</f>
        <v/>
      </c>
      <c r="O9" s="40"/>
      <c r="P9" s="40"/>
      <c r="Q9" s="305"/>
      <c r="R9" s="306"/>
      <c r="S9" s="306"/>
      <c r="T9" s="306"/>
      <c r="U9" s="307"/>
      <c r="V9" s="41"/>
      <c r="W9" s="310"/>
      <c r="X9" s="310"/>
      <c r="Y9" s="310"/>
      <c r="Z9" s="310"/>
      <c r="AA9" s="310"/>
      <c r="AB9" s="310"/>
    </row>
    <row r="10" spans="1:28" s="2" customFormat="1">
      <c r="A10" s="14">
        <f>ROW()-4</f>
        <v>6</v>
      </c>
      <c r="B10" s="289" t="s">
        <v>6922</v>
      </c>
      <c r="C10" s="290"/>
      <c r="D10" s="290"/>
      <c r="E10" s="290"/>
      <c r="F10" s="291"/>
      <c r="G10" s="292" t="str">
        <f>IF(ISNA(VLOOKUP($B10,単語,2,FALSE)),"",(VLOOKUP($B10,単語,2,FALSE)))</f>
        <v>BUNSEKI_UPDATE_DATE</v>
      </c>
      <c r="H10" s="293"/>
      <c r="I10" s="293"/>
      <c r="J10" s="294"/>
      <c r="K10" s="295" t="str">
        <f>IF(ISNA(VLOOKUP($B10,単語,4,FALSE)),"",(VLOOKUP($B10,単語,4,FALSE)))</f>
        <v>Date</v>
      </c>
      <c r="L10" s="296"/>
      <c r="M10" s="236" t="str">
        <f>IF(ISNA(VLOOKUP($B10,単語,5,FALSE)),"",IF(ISBLANK(VLOOKUP($B10,単語,5,FALSE)),"",(VLOOKUP($B10,単語,5,FALSE))))</f>
        <v>　</v>
      </c>
      <c r="N10" s="35" t="str">
        <f>IF(ISNA(VLOOKUP($B10,単語,6,FALSE)),"",IF(ISBLANK(VLOOKUP($B10,単語,6,FALSE)),"",(VLOOKUP($B10,単語,6,FALSE))))</f>
        <v/>
      </c>
      <c r="O10" s="36"/>
      <c r="P10" s="36"/>
      <c r="Q10" s="285"/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</row>
    <row r="11" spans="1:28">
      <c r="A11" s="4">
        <f>ROW()-4</f>
        <v>7</v>
      </c>
      <c r="B11" s="297" t="s">
        <v>126</v>
      </c>
      <c r="C11" s="298"/>
      <c r="D11" s="298"/>
      <c r="E11" s="298"/>
      <c r="F11" s="299"/>
      <c r="G11" s="300" t="str">
        <f>IF(ISNA(VLOOKUP($B11,単語,2,FALSE)),"",(VLOOKUP($B11,単語,2,FALSE)))</f>
        <v>CORP_NAME</v>
      </c>
      <c r="H11" s="301"/>
      <c r="I11" s="301"/>
      <c r="J11" s="302"/>
      <c r="K11" s="308" t="s">
        <v>6485</v>
      </c>
      <c r="L11" s="309"/>
      <c r="M11" s="38">
        <v>32</v>
      </c>
      <c r="N11" s="39" t="str">
        <f>IF(ISNA(VLOOKUP($B11,単語,6,FALSE)),"",IF(ISBLANK(VLOOKUP($B11,単語,6,FALSE)),"",(VLOOKUP($B11,単語,6,FALSE))))</f>
        <v/>
      </c>
      <c r="O11" s="40"/>
      <c r="P11" s="40"/>
      <c r="Q11" s="305" t="s">
        <v>7057</v>
      </c>
      <c r="R11" s="306"/>
      <c r="S11" s="306"/>
      <c r="T11" s="306"/>
      <c r="U11" s="307"/>
      <c r="V11" s="41" t="s">
        <v>6978</v>
      </c>
      <c r="W11" s="310"/>
      <c r="X11" s="310"/>
      <c r="Y11" s="310"/>
      <c r="Z11" s="310"/>
      <c r="AA11" s="310"/>
      <c r="AB11" s="310"/>
    </row>
    <row r="12" spans="1:28" s="2" customFormat="1">
      <c r="A12" s="14">
        <f>ROW()-4</f>
        <v>8</v>
      </c>
      <c r="B12" s="289" t="s">
        <v>6486</v>
      </c>
      <c r="C12" s="290"/>
      <c r="D12" s="290"/>
      <c r="E12" s="290"/>
      <c r="F12" s="291"/>
      <c r="G12" s="292" t="str">
        <f>IF(ISNA(VLOOKUP($B12,単語,2,FALSE)),"",(VLOOKUP($B12,単語,2,FALSE)))</f>
        <v>CORP_NAME_KANA</v>
      </c>
      <c r="H12" s="293"/>
      <c r="I12" s="293"/>
      <c r="J12" s="294"/>
      <c r="K12" s="311" t="s">
        <v>6485</v>
      </c>
      <c r="L12" s="312"/>
      <c r="M12" s="236">
        <v>64</v>
      </c>
      <c r="N12" s="35" t="str">
        <f>IF(ISNA(VLOOKUP($B12,単語,6,FALSE)),"",IF(ISBLANK(VLOOKUP($B12,単語,6,FALSE)),"",(VLOOKUP($B12,単語,6,FALSE))))</f>
        <v/>
      </c>
      <c r="O12" s="36"/>
      <c r="P12" s="36"/>
      <c r="Q12" s="285" t="s">
        <v>7058</v>
      </c>
      <c r="R12" s="286"/>
      <c r="S12" s="286"/>
      <c r="T12" s="286"/>
      <c r="U12" s="287"/>
      <c r="V12" s="37" t="s">
        <v>6994</v>
      </c>
      <c r="W12" s="288"/>
      <c r="X12" s="288"/>
      <c r="Y12" s="288"/>
      <c r="Z12" s="288"/>
      <c r="AA12" s="288"/>
      <c r="AB12" s="288"/>
    </row>
    <row r="13" spans="1:28" s="2" customFormat="1">
      <c r="A13" s="15">
        <f>ROW()-4</f>
        <v>9</v>
      </c>
      <c r="B13" s="297" t="s">
        <v>6488</v>
      </c>
      <c r="C13" s="298"/>
      <c r="D13" s="298"/>
      <c r="E13" s="298"/>
      <c r="F13" s="299"/>
      <c r="G13" s="300" t="str">
        <f>IF(ISNA(VLOOKUP($B13,単語,2,FALSE)),"",(VLOOKUP($B13,単語,2,FALSE)))</f>
        <v>CORP_JIKKOUZEI_RT</v>
      </c>
      <c r="H13" s="301"/>
      <c r="I13" s="301"/>
      <c r="J13" s="302"/>
      <c r="K13" s="303" t="str">
        <f>IF(ISNA(VLOOKUP($B13,単語,4,FALSE)),"",(VLOOKUP($B13,単語,4,FALSE)))</f>
        <v>Number</v>
      </c>
      <c r="L13" s="304"/>
      <c r="M13" s="38">
        <f>IF(ISNA(VLOOKUP($B13,単語,5,FALSE)),"",IF(ISBLANK(VLOOKUP($B13,単語,5,FALSE)),"",(VLOOKUP($B13,単語,5,FALSE))))</f>
        <v>5</v>
      </c>
      <c r="N13" s="39">
        <f>IF(ISNA(VLOOKUP($B13,単語,6,FALSE)),"",IF(ISBLANK(VLOOKUP($B13,単語,6,FALSE)),"",(VLOOKUP($B13,単語,6,FALSE))))</f>
        <v>2</v>
      </c>
      <c r="O13" s="40"/>
      <c r="P13" s="40"/>
      <c r="Q13" s="305" t="s">
        <v>7058</v>
      </c>
      <c r="R13" s="306"/>
      <c r="S13" s="306"/>
      <c r="T13" s="306"/>
      <c r="U13" s="307"/>
      <c r="V13" s="41"/>
      <c r="W13" s="310"/>
      <c r="X13" s="310"/>
      <c r="Y13" s="310"/>
      <c r="Z13" s="310"/>
      <c r="AA13" s="310"/>
      <c r="AB13" s="310"/>
    </row>
    <row r="14" spans="1:28">
      <c r="A14" s="8">
        <f>ROW()-4</f>
        <v>10</v>
      </c>
      <c r="B14" s="289" t="s">
        <v>116</v>
      </c>
      <c r="C14" s="290"/>
      <c r="D14" s="290"/>
      <c r="E14" s="290"/>
      <c r="F14" s="291"/>
      <c r="G14" s="292" t="str">
        <f>IF(ISNA(VLOOKUP($B14,単語,2,FALSE)),"",(VLOOKUP($B14,単語,2,FALSE)))</f>
        <v>NYUSHA_AGE</v>
      </c>
      <c r="H14" s="293"/>
      <c r="I14" s="293"/>
      <c r="J14" s="294"/>
      <c r="K14" s="295" t="str">
        <f t="shared" ref="K14:K22" si="0">IF(ISNA(VLOOKUP($B14,単語,4,FALSE)),"",(VLOOKUP($B14,単語,4,FALSE)))</f>
        <v>Number</v>
      </c>
      <c r="L14" s="296"/>
      <c r="M14" s="236">
        <f t="shared" ref="M14:M22" si="1">IF(ISNA(VLOOKUP($B14,単語,5,FALSE)),"",IF(ISBLANK(VLOOKUP($B14,単語,5,FALSE)),"",(VLOOKUP($B14,単語,5,FALSE))))</f>
        <v>3</v>
      </c>
      <c r="N14" s="240" t="str">
        <f>IF(ISNA(VLOOKUP($B14,単語,6,FALSE)),"",IF(ISBLANK(VLOOKUP($B14,単語,6,FALSE)),"",(VLOOKUP($B14,単語,6,FALSE))))</f>
        <v/>
      </c>
      <c r="O14" s="241"/>
      <c r="P14" s="241"/>
      <c r="Q14" s="285" t="s">
        <v>7060</v>
      </c>
      <c r="R14" s="286"/>
      <c r="S14" s="286"/>
      <c r="T14" s="286"/>
      <c r="U14" s="287"/>
      <c r="V14" s="37"/>
      <c r="W14" s="288"/>
      <c r="X14" s="288"/>
      <c r="Y14" s="288"/>
      <c r="Z14" s="288"/>
      <c r="AA14" s="288"/>
      <c r="AB14" s="288"/>
    </row>
    <row r="15" spans="1:28" s="2" customFormat="1">
      <c r="A15" s="15">
        <f>ROW()-4</f>
        <v>11</v>
      </c>
      <c r="B15" s="297" t="s">
        <v>111</v>
      </c>
      <c r="C15" s="298"/>
      <c r="D15" s="298"/>
      <c r="E15" s="298"/>
      <c r="F15" s="299"/>
      <c r="G15" s="300" t="str">
        <f>IF(ISNA(VLOOKUP($B15,単語,2,FALSE)),"",(VLOOKUP($B15,単語,2,FALSE)))</f>
        <v>YAKUIN_SHUNIN_AGE</v>
      </c>
      <c r="H15" s="301"/>
      <c r="I15" s="301"/>
      <c r="J15" s="302"/>
      <c r="K15" s="303" t="str">
        <f t="shared" si="0"/>
        <v>Number</v>
      </c>
      <c r="L15" s="304"/>
      <c r="M15" s="242">
        <f t="shared" si="1"/>
        <v>3</v>
      </c>
      <c r="N15" s="243" t="str">
        <f>IF(ISNA(VLOOKUP($B15,単語,6,FALSE)),"",IF(ISBLANK(VLOOKUP($B15,単語,6,FALSE)),"",(VLOOKUP($B15,単語,6,FALSE))))</f>
        <v/>
      </c>
      <c r="O15" s="244"/>
      <c r="P15" s="244"/>
      <c r="Q15" s="305" t="s">
        <v>7058</v>
      </c>
      <c r="R15" s="306"/>
      <c r="S15" s="306"/>
      <c r="T15" s="306"/>
      <c r="U15" s="307"/>
      <c r="V15" s="41"/>
      <c r="W15" s="310"/>
      <c r="X15" s="310"/>
      <c r="Y15" s="310"/>
      <c r="Z15" s="310"/>
      <c r="AA15" s="310"/>
      <c r="AB15" s="310"/>
    </row>
    <row r="16" spans="1:28" s="2" customFormat="1">
      <c r="A16" s="14">
        <f>ROW()-4</f>
        <v>12</v>
      </c>
      <c r="B16" s="289" t="s">
        <v>117</v>
      </c>
      <c r="C16" s="290"/>
      <c r="D16" s="290"/>
      <c r="E16" s="290"/>
      <c r="F16" s="291"/>
      <c r="G16" s="292" t="str">
        <f>IF(ISNA(VLOOKUP($B16,単語,2,FALSE)),"",(VLOOKUP($B16,単語,2,FALSE)))</f>
        <v>EP_KANYU_AGE</v>
      </c>
      <c r="H16" s="293"/>
      <c r="I16" s="293"/>
      <c r="J16" s="294"/>
      <c r="K16" s="295" t="str">
        <f t="shared" si="0"/>
        <v>Number</v>
      </c>
      <c r="L16" s="296"/>
      <c r="M16" s="236">
        <f t="shared" si="1"/>
        <v>3</v>
      </c>
      <c r="N16" s="240" t="str">
        <f>IF(ISNA(VLOOKUP($B16,単語,6,FALSE)),"",IF(ISBLANK(VLOOKUP($B16,単語,6,FALSE)),"",(VLOOKUP($B16,単語,6,FALSE))))</f>
        <v/>
      </c>
      <c r="O16" s="241"/>
      <c r="P16" s="241"/>
      <c r="Q16" s="285" t="s">
        <v>7059</v>
      </c>
      <c r="R16" s="286"/>
      <c r="S16" s="286"/>
      <c r="T16" s="286"/>
      <c r="U16" s="287"/>
      <c r="V16" s="37"/>
      <c r="W16" s="288"/>
      <c r="X16" s="288"/>
      <c r="Y16" s="288"/>
      <c r="Z16" s="288"/>
      <c r="AA16" s="288"/>
      <c r="AB16" s="288"/>
    </row>
    <row r="17" spans="1:28">
      <c r="A17" s="15">
        <f>ROW()-4</f>
        <v>13</v>
      </c>
      <c r="B17" s="297" t="s">
        <v>6493</v>
      </c>
      <c r="C17" s="298"/>
      <c r="D17" s="298"/>
      <c r="E17" s="298"/>
      <c r="F17" s="299"/>
      <c r="G17" s="300" t="str">
        <f>IF(ISNA(VLOOKUP($B17,単語,2,FALSE)),"",(VLOOKUP($B17,単語,2,FALSE)))</f>
        <v>GENZAI_HOSHU_GETSUGAKU</v>
      </c>
      <c r="H17" s="301"/>
      <c r="I17" s="301"/>
      <c r="J17" s="302"/>
      <c r="K17" s="303" t="str">
        <f t="shared" si="0"/>
        <v>Number</v>
      </c>
      <c r="L17" s="304"/>
      <c r="M17" s="242">
        <f t="shared" si="1"/>
        <v>11</v>
      </c>
      <c r="N17" s="243" t="str">
        <f>IF(ISNA(VLOOKUP($B17,単語,6,FALSE)),"",IF(ISBLANK(VLOOKUP($B17,単語,6,FALSE)),"",(VLOOKUP($B17,単語,6,FALSE))))</f>
        <v/>
      </c>
      <c r="O17" s="244"/>
      <c r="P17" s="244"/>
      <c r="Q17" s="305" t="s">
        <v>7061</v>
      </c>
      <c r="R17" s="306"/>
      <c r="S17" s="306"/>
      <c r="T17" s="306"/>
      <c r="U17" s="307"/>
      <c r="V17" s="41"/>
      <c r="W17" s="310"/>
      <c r="X17" s="310"/>
      <c r="Y17" s="310"/>
      <c r="Z17" s="310"/>
      <c r="AA17" s="310"/>
      <c r="AB17" s="310"/>
    </row>
    <row r="18" spans="1:28" s="2" customFormat="1" ht="13.5" customHeight="1">
      <c r="A18" s="8">
        <f>ROW()-4</f>
        <v>14</v>
      </c>
      <c r="B18" s="289" t="s">
        <v>6496</v>
      </c>
      <c r="C18" s="290"/>
      <c r="D18" s="290"/>
      <c r="E18" s="290"/>
      <c r="F18" s="291"/>
      <c r="G18" s="292" t="str">
        <f>IF(ISNA(VLOOKUP($B18,単語,2,FALSE)),"",(VLOOKUP($B18,単語,2,FALSE)))</f>
        <v>YUTAI_YSHOSHU_GETSUGAKU</v>
      </c>
      <c r="H18" s="293"/>
      <c r="I18" s="293"/>
      <c r="J18" s="294"/>
      <c r="K18" s="295" t="str">
        <f t="shared" si="0"/>
        <v>Number</v>
      </c>
      <c r="L18" s="296"/>
      <c r="M18" s="236">
        <f t="shared" si="1"/>
        <v>11</v>
      </c>
      <c r="N18" s="240" t="str">
        <f>IF(ISNA(VLOOKUP($B18,単語,6,FALSE)),"",IF(ISBLANK(VLOOKUP($B18,単語,6,FALSE)),"",(VLOOKUP($B18,単語,6,FALSE))))</f>
        <v/>
      </c>
      <c r="O18" s="241"/>
      <c r="P18" s="241"/>
      <c r="Q18" s="285" t="s">
        <v>7062</v>
      </c>
      <c r="R18" s="286"/>
      <c r="S18" s="286"/>
      <c r="T18" s="286"/>
      <c r="U18" s="287"/>
      <c r="V18" s="37"/>
      <c r="W18" s="288"/>
      <c r="X18" s="288"/>
      <c r="Y18" s="288"/>
      <c r="Z18" s="288"/>
      <c r="AA18" s="288"/>
      <c r="AB18" s="288"/>
    </row>
    <row r="19" spans="1:28" s="388" customFormat="1" ht="13.5" customHeight="1">
      <c r="A19" s="369">
        <f>ROW()-4</f>
        <v>15</v>
      </c>
      <c r="B19" s="370" t="s">
        <v>118</v>
      </c>
      <c r="C19" s="371"/>
      <c r="D19" s="371"/>
      <c r="E19" s="371"/>
      <c r="F19" s="372"/>
      <c r="G19" s="373" t="str">
        <f>IF(ISNA(VLOOKUP($B19,単語,2,FALSE)),"",(VLOOKUP($B19,単語,2,FALSE)))</f>
        <v>SYOKOJO_JUMINZEI</v>
      </c>
      <c r="H19" s="374"/>
      <c r="I19" s="374"/>
      <c r="J19" s="375"/>
      <c r="K19" s="376" t="str">
        <f t="shared" si="0"/>
        <v>Number</v>
      </c>
      <c r="L19" s="377"/>
      <c r="M19" s="424">
        <f t="shared" si="1"/>
        <v>11</v>
      </c>
      <c r="N19" s="425" t="str">
        <f>IF(ISNA(VLOOKUP($B19,単語,6,FALSE)),"",IF(ISBLANK(VLOOKUP($B19,単語,6,FALSE)),"",(VLOOKUP($B19,単語,6,FALSE))))</f>
        <v/>
      </c>
      <c r="O19" s="426"/>
      <c r="P19" s="426"/>
      <c r="Q19" s="452" t="s">
        <v>7063</v>
      </c>
      <c r="R19" s="453"/>
      <c r="S19" s="453"/>
      <c r="T19" s="453"/>
      <c r="U19" s="454"/>
      <c r="V19" s="384"/>
      <c r="W19" s="430"/>
      <c r="X19" s="431"/>
      <c r="Y19" s="431"/>
      <c r="Z19" s="431"/>
      <c r="AA19" s="431"/>
      <c r="AB19" s="432"/>
    </row>
    <row r="20" spans="1:28" s="388" customFormat="1" ht="13.5" customHeight="1">
      <c r="A20" s="387">
        <f>ROW()-4</f>
        <v>16</v>
      </c>
      <c r="B20" s="370" t="s">
        <v>119</v>
      </c>
      <c r="C20" s="371"/>
      <c r="D20" s="371"/>
      <c r="E20" s="371"/>
      <c r="F20" s="372"/>
      <c r="G20" s="373" t="str">
        <f>IF(ISNA(VLOOKUP($B20,単語,2,FALSE)),"",(VLOOKUP($B20,単語,2,FALSE)))</f>
        <v>SYOKOJO_SYOTOKUZEI</v>
      </c>
      <c r="H20" s="374"/>
      <c r="I20" s="374"/>
      <c r="J20" s="375"/>
      <c r="K20" s="376" t="str">
        <f t="shared" si="0"/>
        <v>Number</v>
      </c>
      <c r="L20" s="377"/>
      <c r="M20" s="424">
        <f t="shared" si="1"/>
        <v>11</v>
      </c>
      <c r="N20" s="425" t="str">
        <f>IF(ISNA(VLOOKUP($B20,単語,6,FALSE)),"",IF(ISBLANK(VLOOKUP($B20,単語,6,FALSE)),"",(VLOOKUP($B20,単語,6,FALSE))))</f>
        <v/>
      </c>
      <c r="O20" s="426"/>
      <c r="P20" s="426"/>
      <c r="Q20" s="452" t="s">
        <v>7063</v>
      </c>
      <c r="R20" s="453"/>
      <c r="S20" s="453"/>
      <c r="T20" s="453"/>
      <c r="U20" s="454"/>
      <c r="V20" s="384"/>
      <c r="W20" s="430"/>
      <c r="X20" s="431"/>
      <c r="Y20" s="431"/>
      <c r="Z20" s="431"/>
      <c r="AA20" s="431"/>
      <c r="AB20" s="432"/>
    </row>
    <row r="21" spans="1:28" s="2" customFormat="1" ht="13.5" customHeight="1">
      <c r="A21" s="4">
        <f>ROW()-4</f>
        <v>17</v>
      </c>
      <c r="B21" s="297" t="s">
        <v>72</v>
      </c>
      <c r="C21" s="298"/>
      <c r="D21" s="298"/>
      <c r="E21" s="298"/>
      <c r="F21" s="299"/>
      <c r="G21" s="300" t="str">
        <f>IF(ISNA(VLOOKUP($B21,単語,2,FALSE)),"",(VLOOKUP($B21,単語,2,FALSE)))</f>
        <v>KOSEKI_BAI_RT</v>
      </c>
      <c r="H21" s="301"/>
      <c r="I21" s="301"/>
      <c r="J21" s="302"/>
      <c r="K21" s="308" t="s">
        <v>6977</v>
      </c>
      <c r="L21" s="309"/>
      <c r="M21" s="238">
        <v>3</v>
      </c>
      <c r="N21" s="272">
        <v>1</v>
      </c>
      <c r="O21" s="40"/>
      <c r="P21" s="40"/>
      <c r="Q21" s="305" t="s">
        <v>7056</v>
      </c>
      <c r="R21" s="306"/>
      <c r="S21" s="306"/>
      <c r="T21" s="306"/>
      <c r="U21" s="307"/>
      <c r="V21" s="41"/>
      <c r="W21" s="310"/>
      <c r="X21" s="310"/>
      <c r="Y21" s="310"/>
      <c r="Z21" s="310"/>
      <c r="AA21" s="310"/>
      <c r="AB21" s="310"/>
    </row>
    <row r="22" spans="1:28" s="2" customFormat="1" ht="13.5" customHeight="1">
      <c r="A22" s="8">
        <f>ROW()-4</f>
        <v>18</v>
      </c>
      <c r="B22" s="289" t="s">
        <v>6499</v>
      </c>
      <c r="C22" s="290"/>
      <c r="D22" s="290"/>
      <c r="E22" s="290"/>
      <c r="F22" s="291"/>
      <c r="G22" s="292" t="str">
        <f>IF(ISNA(VLOOKUP($B22,単語,2,FALSE)),"",(VLOOKUP($B22,単語,2,FALSE)))</f>
        <v>YUTAI_YOSOKU_AGE</v>
      </c>
      <c r="H22" s="293"/>
      <c r="I22" s="293"/>
      <c r="J22" s="294"/>
      <c r="K22" s="295" t="str">
        <f t="shared" si="0"/>
        <v>Number</v>
      </c>
      <c r="L22" s="296"/>
      <c r="M22" s="236">
        <f t="shared" si="1"/>
        <v>3</v>
      </c>
      <c r="N22" s="240" t="str">
        <f t="shared" ref="N22:N26" si="2">IF(ISNA(VLOOKUP($B22,単語,6,FALSE)),"",IF(ISBLANK(VLOOKUP($B22,単語,6,FALSE)),"",(VLOOKUP($B22,単語,6,FALSE))))</f>
        <v/>
      </c>
      <c r="O22" s="241"/>
      <c r="P22" s="241"/>
      <c r="Q22" s="285" t="s">
        <v>7060</v>
      </c>
      <c r="R22" s="286"/>
      <c r="S22" s="286"/>
      <c r="T22" s="286"/>
      <c r="U22" s="287"/>
      <c r="V22" s="37"/>
      <c r="W22" s="288"/>
      <c r="X22" s="288"/>
      <c r="Y22" s="288"/>
      <c r="Z22" s="288"/>
      <c r="AA22" s="288"/>
      <c r="AB22" s="288"/>
    </row>
    <row r="23" spans="1:28" s="2" customFormat="1">
      <c r="A23" s="4">
        <f>ROW()-4</f>
        <v>19</v>
      </c>
      <c r="B23" s="297" t="s">
        <v>6692</v>
      </c>
      <c r="C23" s="298"/>
      <c r="D23" s="298"/>
      <c r="E23" s="298"/>
      <c r="F23" s="299"/>
      <c r="G23" s="300" t="str">
        <f>IF(ISNA(VLOOKUP($B23,単語,2,FALSE)),"",(VLOOKUP($B23,単語,2,FALSE)))</f>
        <v>KIBO_YAKUIN_TIROKIN</v>
      </c>
      <c r="H23" s="301"/>
      <c r="I23" s="301"/>
      <c r="J23" s="302"/>
      <c r="K23" s="303" t="str">
        <f>IF(ISNA(VLOOKUP($B23,単語,4,FALSE)),"",(VLOOKUP($B23,単語,4,FALSE)))</f>
        <v>Number</v>
      </c>
      <c r="L23" s="304"/>
      <c r="M23" s="242">
        <f>IF(ISNA(VLOOKUP($B23,単語,5,FALSE)),"",IF(ISBLANK(VLOOKUP($B23,単語,5,FALSE)),"",(VLOOKUP($B23,単語,5,FALSE))))</f>
        <v>11</v>
      </c>
      <c r="N23" s="243" t="str">
        <f t="shared" si="2"/>
        <v/>
      </c>
      <c r="O23" s="244"/>
      <c r="P23" s="244"/>
      <c r="Q23" s="305" t="s">
        <v>7060</v>
      </c>
      <c r="R23" s="306"/>
      <c r="S23" s="306"/>
      <c r="T23" s="306"/>
      <c r="U23" s="307"/>
      <c r="V23" s="41"/>
      <c r="W23" s="310"/>
      <c r="X23" s="310"/>
      <c r="Y23" s="310"/>
      <c r="Z23" s="310"/>
      <c r="AA23" s="310"/>
      <c r="AB23" s="310"/>
    </row>
    <row r="24" spans="1:28" s="2" customFormat="1">
      <c r="A24" s="14">
        <f>ROW()-4</f>
        <v>20</v>
      </c>
      <c r="B24" s="289" t="s">
        <v>6904</v>
      </c>
      <c r="C24" s="290"/>
      <c r="D24" s="290"/>
      <c r="E24" s="290"/>
      <c r="F24" s="291"/>
      <c r="G24" s="292" t="str">
        <f>IF(ISNA(VLOOKUP($B24,単語,2,FALSE)),"",(VLOOKUP($B24,単語,2,FALSE)))</f>
        <v>BUNSEKI_COMMENT</v>
      </c>
      <c r="H24" s="293"/>
      <c r="I24" s="293"/>
      <c r="J24" s="294"/>
      <c r="K24" s="295" t="s">
        <v>6485</v>
      </c>
      <c r="L24" s="296"/>
      <c r="M24" s="236">
        <v>30</v>
      </c>
      <c r="N24" s="240" t="str">
        <f t="shared" si="2"/>
        <v/>
      </c>
      <c r="O24" s="241"/>
      <c r="P24" s="241"/>
      <c r="Q24" s="285"/>
      <c r="R24" s="286"/>
      <c r="S24" s="286"/>
      <c r="T24" s="286"/>
      <c r="U24" s="287"/>
      <c r="V24" s="37" t="s">
        <v>6979</v>
      </c>
      <c r="W24" s="288"/>
      <c r="X24" s="288"/>
      <c r="Y24" s="288"/>
      <c r="Z24" s="288"/>
      <c r="AA24" s="288"/>
      <c r="AB24" s="288"/>
    </row>
    <row r="25" spans="1:28" s="2" customFormat="1" ht="13.5" customHeight="1">
      <c r="A25" s="4">
        <f>ROW()-4</f>
        <v>21</v>
      </c>
      <c r="B25" s="297" t="s">
        <v>6916</v>
      </c>
      <c r="C25" s="298"/>
      <c r="D25" s="298"/>
      <c r="E25" s="298"/>
      <c r="F25" s="299"/>
      <c r="G25" s="300" t="str">
        <f>IF(ISNA(VLOOKUP($B25,単語,2,FALSE)),"",(VLOOKUP($B25,単語,2,FALSE)))</f>
        <v>SYSTEM_CREATE_DATE</v>
      </c>
      <c r="H25" s="301"/>
      <c r="I25" s="301"/>
      <c r="J25" s="302"/>
      <c r="K25" s="308" t="str">
        <f>IF(ISNA(VLOOKUP($B25,単語,4,FALSE)),"",(VLOOKUP($B25,単語,4,FALSE)))</f>
        <v>Date</v>
      </c>
      <c r="L25" s="309"/>
      <c r="M25" s="238" t="str">
        <f>IF(ISNA(VLOOKUP($B25,単語,5,FALSE)),"",IF(ISBLANK(VLOOKUP($B25,単語,5,FALSE)),"",(VLOOKUP($B25,単語,5,FALSE))))</f>
        <v>　</v>
      </c>
      <c r="N25" s="272" t="str">
        <f t="shared" si="2"/>
        <v/>
      </c>
      <c r="O25" s="40" t="s">
        <v>66</v>
      </c>
      <c r="P25" s="40"/>
      <c r="Q25" s="305"/>
      <c r="R25" s="306"/>
      <c r="S25" s="306"/>
      <c r="T25" s="306"/>
      <c r="U25" s="307"/>
      <c r="V25" s="41" t="s">
        <v>6696</v>
      </c>
      <c r="W25" s="310"/>
      <c r="X25" s="310"/>
      <c r="Y25" s="310"/>
      <c r="Z25" s="310"/>
      <c r="AA25" s="310"/>
      <c r="AB25" s="310"/>
    </row>
    <row r="26" spans="1:28" s="2" customFormat="1">
      <c r="A26" s="8">
        <f>ROW()-4</f>
        <v>22</v>
      </c>
      <c r="B26" s="289" t="s">
        <v>7001</v>
      </c>
      <c r="C26" s="290"/>
      <c r="D26" s="290"/>
      <c r="E26" s="290"/>
      <c r="F26" s="291"/>
      <c r="G26" s="292" t="str">
        <f>IF(ISNA(VLOOKUP($B26,単語,2,FALSE)),"",(VLOOKUP($B26,単語,2,FALSE)))</f>
        <v>SYSTEM_UPDATE_DATE</v>
      </c>
      <c r="H26" s="293"/>
      <c r="I26" s="293"/>
      <c r="J26" s="294"/>
      <c r="K26" s="295" t="str">
        <f>IF(ISNA(VLOOKUP($B26,単語,4,FALSE)),"",(VLOOKUP($B26,単語,4,FALSE)))</f>
        <v>Date</v>
      </c>
      <c r="L26" s="296"/>
      <c r="M26" s="236" t="str">
        <f>IF(ISNA(VLOOKUP($B26,単語,5,FALSE)),"",IF(ISBLANK(VLOOKUP($B26,単語,5,FALSE)),"",(VLOOKUP($B26,単語,5,FALSE))))</f>
        <v>　</v>
      </c>
      <c r="N26" s="240" t="str">
        <f t="shared" si="2"/>
        <v/>
      </c>
      <c r="O26" s="241" t="s">
        <v>66</v>
      </c>
      <c r="P26" s="241"/>
      <c r="Q26" s="285"/>
      <c r="R26" s="286"/>
      <c r="S26" s="286"/>
      <c r="T26" s="286"/>
      <c r="U26" s="287"/>
      <c r="V26" s="37" t="s">
        <v>6989</v>
      </c>
      <c r="W26" s="288"/>
      <c r="X26" s="288"/>
      <c r="Y26" s="288"/>
      <c r="Z26" s="288"/>
      <c r="AA26" s="288"/>
      <c r="AB26" s="288"/>
    </row>
    <row r="27" spans="1:28">
      <c r="Q27" s="1" t="s">
        <v>7064</v>
      </c>
    </row>
    <row r="28" spans="1:28">
      <c r="Q28" s="1" t="s">
        <v>7065</v>
      </c>
    </row>
    <row r="29" spans="1:28">
      <c r="Q29" s="1" t="s">
        <v>7066</v>
      </c>
    </row>
    <row r="30" spans="1:28">
      <c r="Q30" s="1" t="s">
        <v>7067</v>
      </c>
    </row>
  </sheetData>
  <mergeCells count="128">
    <mergeCell ref="B10:F10"/>
    <mergeCell ref="G10:J10"/>
    <mergeCell ref="K10:L10"/>
    <mergeCell ref="W19:AB19"/>
    <mergeCell ref="W23:AB23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B22:F22"/>
    <mergeCell ref="G22:J22"/>
    <mergeCell ref="W18:AB18"/>
    <mergeCell ref="Q18:U18"/>
    <mergeCell ref="B19:F19"/>
    <mergeCell ref="G19:J19"/>
    <mergeCell ref="K19:L19"/>
    <mergeCell ref="Q19:U19"/>
    <mergeCell ref="Q13:U13"/>
    <mergeCell ref="W13:AB13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W5:AB5"/>
    <mergeCell ref="B6:F6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B12:F12"/>
    <mergeCell ref="G12:J12"/>
    <mergeCell ref="K12:L12"/>
    <mergeCell ref="Q12:U12"/>
    <mergeCell ref="W12:AB12"/>
    <mergeCell ref="B13:F13"/>
    <mergeCell ref="G13:J13"/>
    <mergeCell ref="K13:L13"/>
    <mergeCell ref="K15:L15"/>
    <mergeCell ref="Q15:U15"/>
    <mergeCell ref="B14:F14"/>
    <mergeCell ref="G14:J14"/>
    <mergeCell ref="K14:L14"/>
    <mergeCell ref="Q14:U14"/>
    <mergeCell ref="B17:F17"/>
    <mergeCell ref="W21:AB21"/>
    <mergeCell ref="Q21:U21"/>
    <mergeCell ref="B18:F18"/>
    <mergeCell ref="G18:J18"/>
    <mergeCell ref="W15:AB15"/>
    <mergeCell ref="W14:AB14"/>
    <mergeCell ref="G17:J17"/>
    <mergeCell ref="K17:L17"/>
    <mergeCell ref="Q17:U17"/>
    <mergeCell ref="W17:AB17"/>
    <mergeCell ref="B15:F15"/>
    <mergeCell ref="K18:L18"/>
    <mergeCell ref="B16:F16"/>
    <mergeCell ref="G16:J16"/>
    <mergeCell ref="K16:L16"/>
    <mergeCell ref="Q16:U16"/>
    <mergeCell ref="W16:AB16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W25:AB25"/>
    <mergeCell ref="Q10:U10"/>
    <mergeCell ref="W10:AB10"/>
    <mergeCell ref="B24:F24"/>
    <mergeCell ref="G24:J24"/>
    <mergeCell ref="K24:L24"/>
    <mergeCell ref="Q24:U24"/>
    <mergeCell ref="W24:AB24"/>
    <mergeCell ref="K22:L22"/>
    <mergeCell ref="Q22:U22"/>
    <mergeCell ref="B23:F23"/>
    <mergeCell ref="G23:J23"/>
    <mergeCell ref="K23:L23"/>
    <mergeCell ref="Q23:U23"/>
    <mergeCell ref="G15:J15"/>
  </mergeCells>
  <phoneticPr fontId="4"/>
  <conditionalFormatting sqref="G6:J6">
    <cfRule type="expression" dxfId="175" priority="28" stopIfTrue="1">
      <formula>LEN(G6)&gt;30</formula>
    </cfRule>
  </conditionalFormatting>
  <conditionalFormatting sqref="G5:J5">
    <cfRule type="expression" dxfId="174" priority="32" stopIfTrue="1">
      <formula>LEN(G5)&gt;30</formula>
    </cfRule>
  </conditionalFormatting>
  <conditionalFormatting sqref="G7:J7">
    <cfRule type="expression" dxfId="173" priority="30" stopIfTrue="1">
      <formula>LEN(G7)&gt;30</formula>
    </cfRule>
  </conditionalFormatting>
  <conditionalFormatting sqref="G11:J13">
    <cfRule type="expression" dxfId="172" priority="29" stopIfTrue="1">
      <formula>LEN(G11)&gt;30</formula>
    </cfRule>
  </conditionalFormatting>
  <conditionalFormatting sqref="G19:J19">
    <cfRule type="expression" dxfId="171" priority="25" stopIfTrue="1">
      <formula>LEN(G19)&gt;30</formula>
    </cfRule>
  </conditionalFormatting>
  <conditionalFormatting sqref="G20:J21">
    <cfRule type="expression" dxfId="170" priority="24" stopIfTrue="1">
      <formula>LEN(G20)&gt;30</formula>
    </cfRule>
  </conditionalFormatting>
  <conditionalFormatting sqref="G18:J18">
    <cfRule type="expression" dxfId="169" priority="23" stopIfTrue="1">
      <formula>LEN(G18)&gt;30</formula>
    </cfRule>
  </conditionalFormatting>
  <conditionalFormatting sqref="G14:J17">
    <cfRule type="expression" dxfId="168" priority="22" stopIfTrue="1">
      <formula>LEN(G14)&gt;30</formula>
    </cfRule>
  </conditionalFormatting>
  <conditionalFormatting sqref="G23:J23">
    <cfRule type="expression" dxfId="167" priority="11" stopIfTrue="1">
      <formula>LEN(G23)&gt;30</formula>
    </cfRule>
  </conditionalFormatting>
  <conditionalFormatting sqref="G22:J22">
    <cfRule type="expression" dxfId="166" priority="9" stopIfTrue="1">
      <formula>LEN(G22)&gt;30</formula>
    </cfRule>
  </conditionalFormatting>
  <conditionalFormatting sqref="G8:J8">
    <cfRule type="expression" dxfId="165" priority="6" stopIfTrue="1">
      <formula>LEN(G8)&gt;30</formula>
    </cfRule>
  </conditionalFormatting>
  <conditionalFormatting sqref="G10:J10">
    <cfRule type="expression" dxfId="164" priority="3" stopIfTrue="1">
      <formula>LEN(G10)&gt;30</formula>
    </cfRule>
  </conditionalFormatting>
  <conditionalFormatting sqref="G9:J9">
    <cfRule type="expression" dxfId="163" priority="4" stopIfTrue="1">
      <formula>LEN(G9)&gt;30</formula>
    </cfRule>
  </conditionalFormatting>
  <conditionalFormatting sqref="G24:J25">
    <cfRule type="expression" dxfId="162" priority="2" stopIfTrue="1">
      <formula>LEN(G24)&gt;30</formula>
    </cfRule>
  </conditionalFormatting>
  <conditionalFormatting sqref="G26:J26">
    <cfRule type="expression" dxfId="161" priority="1" stopIfTrue="1">
      <formula>LEN(G26)&gt;30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4" sqref="B14:F14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69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6511</v>
      </c>
      <c r="J2" s="325"/>
      <c r="K2" s="325"/>
      <c r="L2" s="325"/>
      <c r="M2" s="325"/>
      <c r="N2" s="325"/>
      <c r="O2" s="325"/>
      <c r="P2" s="326" t="str">
        <f>VLOOKUP(I2,単語,2,FALSE)</f>
        <v>T_CORP_PFAMLY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33" t="s">
        <v>25</v>
      </c>
      <c r="X2" s="334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6937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35"/>
      <c r="X3" s="336"/>
      <c r="Y3" s="328"/>
      <c r="Z3" s="328"/>
      <c r="AA3" s="328"/>
      <c r="AB3" s="328"/>
    </row>
    <row r="4" spans="1:28" ht="14.25" thickBot="1">
      <c r="A4" s="70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0" t="s">
        <v>11</v>
      </c>
      <c r="N4" s="70" t="s">
        <v>12</v>
      </c>
      <c r="O4" s="70" t="s">
        <v>13</v>
      </c>
      <c r="P4" s="70" t="s">
        <v>14</v>
      </c>
      <c r="Q4" s="313" t="s">
        <v>15</v>
      </c>
      <c r="R4" s="313"/>
      <c r="S4" s="313"/>
      <c r="T4" s="313"/>
      <c r="U4" s="313"/>
      <c r="V4" s="70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 t="shared" ref="A5:A20" si="0">ROW()-4</f>
        <v>1</v>
      </c>
      <c r="B5" s="317" t="s">
        <v>6465</v>
      </c>
      <c r="C5" s="318"/>
      <c r="D5" s="318"/>
      <c r="E5" s="318"/>
      <c r="F5" s="319"/>
      <c r="G5" s="300" t="str">
        <f t="shared" ref="G5:G20" si="1">IF(ISNA(VLOOKUP($B5,単語,2,FALSE)),"",(VLOOKUP($B5,単語,2,FALSE)))</f>
        <v>PLAN_ID</v>
      </c>
      <c r="H5" s="301"/>
      <c r="I5" s="301"/>
      <c r="J5" s="302"/>
      <c r="K5" s="320" t="str">
        <f t="shared" ref="K5:K20" si="2">IF(ISNA(VLOOKUP($B5,単語,4,FALSE)),"",(VLOOKUP($B5,単語,4,FALSE)))</f>
        <v>Varchar2</v>
      </c>
      <c r="L5" s="321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14">
        <f t="shared" si="0"/>
        <v>2</v>
      </c>
      <c r="B6" s="289" t="s">
        <v>6991</v>
      </c>
      <c r="C6" s="290"/>
      <c r="D6" s="290"/>
      <c r="E6" s="290"/>
      <c r="F6" s="291"/>
      <c r="G6" s="292" t="str">
        <f t="shared" si="1"/>
        <v>FAMILY_CD</v>
      </c>
      <c r="H6" s="293"/>
      <c r="I6" s="293"/>
      <c r="J6" s="294"/>
      <c r="K6" s="295" t="str">
        <f>IF(ISNA(VLOOKUP($B6,単語,4,FALSE)),"",(VLOOKUP($B6,単語,4,FALSE)))</f>
        <v>Char</v>
      </c>
      <c r="L6" s="296"/>
      <c r="M6" s="34">
        <f>IF(ISNA(VLOOKUP($B6,単語,5,FALSE)),"",IF(ISBLANK(VLOOKUP($B6,単語,5,FALSE)),"",(VLOOKUP($B6,単語,5,FALSE))))</f>
        <v>2</v>
      </c>
      <c r="N6" s="35" t="str">
        <f t="shared" si="4"/>
        <v/>
      </c>
      <c r="O6" s="36" t="s">
        <v>6412</v>
      </c>
      <c r="P6" s="36" t="s">
        <v>6413</v>
      </c>
      <c r="Q6" s="285"/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 s="2" customFormat="1">
      <c r="A7" s="4">
        <f t="shared" si="0"/>
        <v>3</v>
      </c>
      <c r="B7" s="297" t="s">
        <v>6517</v>
      </c>
      <c r="C7" s="298"/>
      <c r="D7" s="298"/>
      <c r="E7" s="298"/>
      <c r="F7" s="299"/>
      <c r="G7" s="300" t="str">
        <f t="shared" si="1"/>
        <v>FAMILY_NAME_KANJI</v>
      </c>
      <c r="H7" s="301"/>
      <c r="I7" s="301"/>
      <c r="J7" s="302"/>
      <c r="K7" s="303" t="str">
        <f t="shared" si="2"/>
        <v>Varchar2</v>
      </c>
      <c r="L7" s="304"/>
      <c r="M7" s="38">
        <v>32</v>
      </c>
      <c r="N7" s="39" t="str">
        <f t="shared" si="4"/>
        <v/>
      </c>
      <c r="O7" s="40"/>
      <c r="P7" s="40"/>
      <c r="Q7" s="305"/>
      <c r="R7" s="306"/>
      <c r="S7" s="306"/>
      <c r="T7" s="306"/>
      <c r="U7" s="307"/>
      <c r="V7" s="41" t="s">
        <v>6981</v>
      </c>
      <c r="W7" s="310"/>
      <c r="X7" s="310"/>
      <c r="Y7" s="310"/>
      <c r="Z7" s="310"/>
      <c r="AA7" s="310"/>
      <c r="AB7" s="310"/>
    </row>
    <row r="8" spans="1:28">
      <c r="A8" s="14">
        <f t="shared" si="0"/>
        <v>4</v>
      </c>
      <c r="B8" s="289" t="s">
        <v>6518</v>
      </c>
      <c r="C8" s="290"/>
      <c r="D8" s="290"/>
      <c r="E8" s="290"/>
      <c r="F8" s="291"/>
      <c r="G8" s="292" t="str">
        <f t="shared" si="1"/>
        <v>FAMILY_NAME_KANA</v>
      </c>
      <c r="H8" s="293"/>
      <c r="I8" s="293"/>
      <c r="J8" s="294"/>
      <c r="K8" s="295" t="str">
        <f t="shared" si="2"/>
        <v>Varchar2</v>
      </c>
      <c r="L8" s="296"/>
      <c r="M8" s="34">
        <v>32</v>
      </c>
      <c r="N8" s="35" t="str">
        <f t="shared" si="4"/>
        <v/>
      </c>
      <c r="O8" s="36"/>
      <c r="P8" s="36"/>
      <c r="Q8" s="285"/>
      <c r="R8" s="286"/>
      <c r="S8" s="286"/>
      <c r="T8" s="286"/>
      <c r="U8" s="287"/>
      <c r="V8" s="37" t="s">
        <v>6982</v>
      </c>
      <c r="W8" s="288"/>
      <c r="X8" s="288"/>
      <c r="Y8" s="288"/>
      <c r="Z8" s="288"/>
      <c r="AA8" s="288"/>
      <c r="AB8" s="288"/>
    </row>
    <row r="9" spans="1:28" s="2" customFormat="1">
      <c r="A9" s="4">
        <f t="shared" si="0"/>
        <v>5</v>
      </c>
      <c r="B9" s="297" t="s">
        <v>6995</v>
      </c>
      <c r="C9" s="298"/>
      <c r="D9" s="298"/>
      <c r="E9" s="298"/>
      <c r="F9" s="299"/>
      <c r="G9" s="300" t="str">
        <f t="shared" si="1"/>
        <v>BIRTH</v>
      </c>
      <c r="H9" s="301"/>
      <c r="I9" s="301"/>
      <c r="J9" s="302"/>
      <c r="K9" s="303" t="str">
        <f t="shared" si="2"/>
        <v>Date</v>
      </c>
      <c r="L9" s="304"/>
      <c r="M9" s="38" t="str">
        <f t="shared" si="3"/>
        <v>　</v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268"/>
      <c r="W9" s="310"/>
      <c r="X9" s="310"/>
      <c r="Y9" s="310"/>
      <c r="Z9" s="310"/>
      <c r="AA9" s="310"/>
      <c r="AB9" s="310"/>
    </row>
    <row r="10" spans="1:28" s="2" customFormat="1">
      <c r="A10" s="14">
        <f t="shared" si="0"/>
        <v>6</v>
      </c>
      <c r="B10" s="289" t="s">
        <v>21</v>
      </c>
      <c r="C10" s="290"/>
      <c r="D10" s="290"/>
      <c r="E10" s="290"/>
      <c r="F10" s="291"/>
      <c r="G10" s="292" t="str">
        <f t="shared" si="1"/>
        <v>AGE</v>
      </c>
      <c r="H10" s="293"/>
      <c r="I10" s="293"/>
      <c r="J10" s="294"/>
      <c r="K10" s="295" t="str">
        <f t="shared" si="2"/>
        <v>Number</v>
      </c>
      <c r="L10" s="296"/>
      <c r="M10" s="34">
        <f t="shared" si="3"/>
        <v>3</v>
      </c>
      <c r="N10" s="35" t="str">
        <f t="shared" si="4"/>
        <v/>
      </c>
      <c r="O10" s="36"/>
      <c r="P10" s="36"/>
      <c r="Q10" s="285"/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</row>
    <row r="11" spans="1:28">
      <c r="A11" s="4">
        <f t="shared" si="0"/>
        <v>7</v>
      </c>
      <c r="B11" s="297" t="s">
        <v>7027</v>
      </c>
      <c r="C11" s="298"/>
      <c r="D11" s="298"/>
      <c r="E11" s="298"/>
      <c r="F11" s="299"/>
      <c r="G11" s="300" t="str">
        <f>IF(ISNA(VLOOKUP($B11,単語,2,FALSE)),"",(VLOOKUP($B11,単語,2,FALSE)))</f>
        <v>BIRTH_AGE_SELECT_CD</v>
      </c>
      <c r="H11" s="301"/>
      <c r="I11" s="301"/>
      <c r="J11" s="302"/>
      <c r="K11" s="303" t="str">
        <f>IF(ISNA(VLOOKUP($B11,単語,4,FALSE)),"",(VLOOKUP($B11,単語,4,FALSE)))</f>
        <v>Char</v>
      </c>
      <c r="L11" s="304"/>
      <c r="M11" s="38">
        <v>1</v>
      </c>
      <c r="N11" s="39" t="str">
        <f>IF(ISNA(VLOOKUP($B11,単語,6,FALSE)),"",IF(ISBLANK(VLOOKUP($B11,単語,6,FALSE)),"",(VLOOKUP($B11,単語,6,FALSE))))</f>
        <v/>
      </c>
      <c r="O11" s="40"/>
      <c r="P11" s="40"/>
      <c r="Q11" s="305"/>
      <c r="R11" s="306"/>
      <c r="S11" s="306"/>
      <c r="T11" s="306"/>
      <c r="U11" s="307"/>
      <c r="V11" s="41"/>
      <c r="W11" s="310"/>
      <c r="X11" s="310"/>
      <c r="Y11" s="310"/>
      <c r="Z11" s="310"/>
      <c r="AA11" s="310"/>
      <c r="AB11" s="310"/>
    </row>
    <row r="12" spans="1:28" s="2" customFormat="1">
      <c r="A12" s="14">
        <f t="shared" si="0"/>
        <v>8</v>
      </c>
      <c r="B12" s="289" t="s">
        <v>6996</v>
      </c>
      <c r="C12" s="290"/>
      <c r="D12" s="290"/>
      <c r="E12" s="290"/>
      <c r="F12" s="291"/>
      <c r="G12" s="292" t="str">
        <f t="shared" si="1"/>
        <v>ZOKUGARA_CD</v>
      </c>
      <c r="H12" s="293"/>
      <c r="I12" s="293"/>
      <c r="J12" s="294"/>
      <c r="K12" s="295" t="str">
        <f t="shared" si="2"/>
        <v>Char</v>
      </c>
      <c r="L12" s="296"/>
      <c r="M12" s="34">
        <v>1</v>
      </c>
      <c r="N12" s="35" t="str">
        <f t="shared" si="4"/>
        <v/>
      </c>
      <c r="O12" s="36"/>
      <c r="P12" s="36"/>
      <c r="Q12" s="285"/>
      <c r="R12" s="286"/>
      <c r="S12" s="286"/>
      <c r="T12" s="286"/>
      <c r="U12" s="287"/>
      <c r="V12" s="37"/>
      <c r="W12" s="288"/>
      <c r="X12" s="288"/>
      <c r="Y12" s="288"/>
      <c r="Z12" s="288"/>
      <c r="AA12" s="288"/>
      <c r="AB12" s="288"/>
    </row>
    <row r="13" spans="1:28">
      <c r="A13" s="4">
        <f t="shared" si="0"/>
        <v>9</v>
      </c>
      <c r="B13" s="297" t="s">
        <v>6997</v>
      </c>
      <c r="C13" s="298"/>
      <c r="D13" s="298"/>
      <c r="E13" s="298"/>
      <c r="F13" s="299"/>
      <c r="G13" s="300" t="str">
        <f t="shared" si="1"/>
        <v>SEX_CD</v>
      </c>
      <c r="H13" s="301"/>
      <c r="I13" s="301"/>
      <c r="J13" s="302"/>
      <c r="K13" s="303" t="str">
        <f t="shared" si="2"/>
        <v>Char</v>
      </c>
      <c r="L13" s="304"/>
      <c r="M13" s="38">
        <v>1</v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/>
      <c r="W13" s="310"/>
      <c r="X13" s="310"/>
      <c r="Y13" s="310"/>
      <c r="Z13" s="310"/>
      <c r="AA13" s="310"/>
      <c r="AB13" s="310"/>
    </row>
    <row r="14" spans="1:28" s="2" customFormat="1" ht="13.5" customHeight="1">
      <c r="A14" s="14">
        <f t="shared" si="0"/>
        <v>10</v>
      </c>
      <c r="B14" s="289" t="s">
        <v>2193</v>
      </c>
      <c r="C14" s="290"/>
      <c r="D14" s="290"/>
      <c r="E14" s="290"/>
      <c r="F14" s="291"/>
      <c r="G14" s="292" t="str">
        <f t="shared" si="1"/>
        <v>JOB_CD</v>
      </c>
      <c r="H14" s="293"/>
      <c r="I14" s="293"/>
      <c r="J14" s="294"/>
      <c r="K14" s="295" t="str">
        <f t="shared" si="2"/>
        <v>Char</v>
      </c>
      <c r="L14" s="296"/>
      <c r="M14" s="34">
        <v>1</v>
      </c>
      <c r="N14" s="35" t="str">
        <f t="shared" si="4"/>
        <v/>
      </c>
      <c r="O14" s="36"/>
      <c r="P14" s="36"/>
      <c r="Q14" s="285"/>
      <c r="R14" s="286"/>
      <c r="S14" s="286"/>
      <c r="T14" s="286"/>
      <c r="U14" s="287"/>
      <c r="V14" s="37"/>
      <c r="W14" s="288"/>
      <c r="X14" s="288"/>
      <c r="Y14" s="288"/>
      <c r="Z14" s="288"/>
      <c r="AA14" s="288"/>
      <c r="AB14" s="288"/>
    </row>
    <row r="15" spans="1:28" s="2" customFormat="1" ht="13.5" customHeight="1">
      <c r="A15" s="4">
        <f t="shared" si="0"/>
        <v>11</v>
      </c>
      <c r="B15" s="297" t="s">
        <v>6998</v>
      </c>
      <c r="C15" s="298"/>
      <c r="D15" s="298"/>
      <c r="E15" s="298"/>
      <c r="F15" s="299"/>
      <c r="G15" s="300" t="str">
        <f t="shared" si="1"/>
        <v>NENSHU</v>
      </c>
      <c r="H15" s="301"/>
      <c r="I15" s="301"/>
      <c r="J15" s="302"/>
      <c r="K15" s="303" t="str">
        <f t="shared" si="2"/>
        <v>Number</v>
      </c>
      <c r="L15" s="304"/>
      <c r="M15" s="38">
        <f t="shared" si="3"/>
        <v>11</v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268"/>
      <c r="W15" s="310"/>
      <c r="X15" s="310"/>
      <c r="Y15" s="310"/>
      <c r="Z15" s="310"/>
      <c r="AA15" s="310"/>
      <c r="AB15" s="310"/>
    </row>
    <row r="16" spans="1:28" s="2" customFormat="1" ht="13.5" customHeight="1">
      <c r="A16" s="14">
        <f t="shared" si="0"/>
        <v>12</v>
      </c>
      <c r="B16" s="289" t="s">
        <v>6999</v>
      </c>
      <c r="C16" s="290"/>
      <c r="D16" s="290"/>
      <c r="E16" s="290"/>
      <c r="F16" s="291"/>
      <c r="G16" s="292" t="str">
        <f t="shared" si="1"/>
        <v>TAISHOKU_PLAN_AGE</v>
      </c>
      <c r="H16" s="293"/>
      <c r="I16" s="293"/>
      <c r="J16" s="294"/>
      <c r="K16" s="295" t="str">
        <f t="shared" si="2"/>
        <v>Number</v>
      </c>
      <c r="L16" s="296"/>
      <c r="M16" s="34">
        <f t="shared" si="3"/>
        <v>3</v>
      </c>
      <c r="N16" s="35" t="str">
        <f t="shared" si="4"/>
        <v/>
      </c>
      <c r="O16" s="36"/>
      <c r="P16" s="36"/>
      <c r="Q16" s="285"/>
      <c r="R16" s="286"/>
      <c r="S16" s="286"/>
      <c r="T16" s="286"/>
      <c r="U16" s="287"/>
      <c r="V16" s="37"/>
      <c r="W16" s="288"/>
      <c r="X16" s="288"/>
      <c r="Y16" s="288"/>
      <c r="Z16" s="288"/>
      <c r="AA16" s="288"/>
      <c r="AB16" s="288"/>
    </row>
    <row r="17" spans="1:28">
      <c r="A17" s="4">
        <f t="shared" si="0"/>
        <v>13</v>
      </c>
      <c r="B17" s="297" t="s">
        <v>7000</v>
      </c>
      <c r="C17" s="298"/>
      <c r="D17" s="298"/>
      <c r="E17" s="298"/>
      <c r="F17" s="299"/>
      <c r="G17" s="300" t="str">
        <f t="shared" si="1"/>
        <v>HEIKIN_YOMEI</v>
      </c>
      <c r="H17" s="301"/>
      <c r="I17" s="301"/>
      <c r="J17" s="302"/>
      <c r="K17" s="303" t="str">
        <f t="shared" si="2"/>
        <v>Number</v>
      </c>
      <c r="L17" s="304"/>
      <c r="M17" s="38">
        <f t="shared" si="3"/>
        <v>3</v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310"/>
      <c r="X17" s="310"/>
      <c r="Y17" s="310"/>
      <c r="Z17" s="310"/>
      <c r="AA17" s="310"/>
      <c r="AB17" s="310"/>
    </row>
    <row r="18" spans="1:28">
      <c r="A18" s="14">
        <f t="shared" si="0"/>
        <v>14</v>
      </c>
      <c r="B18" s="289" t="s">
        <v>7033</v>
      </c>
      <c r="C18" s="290"/>
      <c r="D18" s="290"/>
      <c r="E18" s="290"/>
      <c r="F18" s="291"/>
      <c r="G18" s="292" t="str">
        <f t="shared" si="1"/>
        <v>IMEJI_GAZOU_CD</v>
      </c>
      <c r="H18" s="293"/>
      <c r="I18" s="293"/>
      <c r="J18" s="294"/>
      <c r="K18" s="295" t="s">
        <v>7030</v>
      </c>
      <c r="L18" s="296"/>
      <c r="M18" s="34">
        <v>8</v>
      </c>
      <c r="N18" s="35" t="str">
        <f t="shared" si="4"/>
        <v/>
      </c>
      <c r="O18" s="36"/>
      <c r="P18" s="36"/>
      <c r="Q18" s="285"/>
      <c r="R18" s="286"/>
      <c r="S18" s="286"/>
      <c r="T18" s="286"/>
      <c r="U18" s="287"/>
      <c r="V18" s="37"/>
      <c r="W18" s="288"/>
      <c r="X18" s="288"/>
      <c r="Y18" s="288"/>
      <c r="Z18" s="288"/>
      <c r="AA18" s="288"/>
      <c r="AB18" s="288"/>
    </row>
    <row r="19" spans="1:28" s="2" customFormat="1" ht="13.5" customHeight="1">
      <c r="A19" s="4">
        <f t="shared" si="0"/>
        <v>15</v>
      </c>
      <c r="B19" s="297" t="s">
        <v>6916</v>
      </c>
      <c r="C19" s="298"/>
      <c r="D19" s="298"/>
      <c r="E19" s="298"/>
      <c r="F19" s="299"/>
      <c r="G19" s="300" t="str">
        <f t="shared" si="1"/>
        <v>SYSTEM_CREATE_DATE</v>
      </c>
      <c r="H19" s="301"/>
      <c r="I19" s="301"/>
      <c r="J19" s="302"/>
      <c r="K19" s="303" t="str">
        <f t="shared" si="2"/>
        <v>Date</v>
      </c>
      <c r="L19" s="304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05"/>
      <c r="R19" s="306"/>
      <c r="S19" s="306"/>
      <c r="T19" s="306"/>
      <c r="U19" s="307"/>
      <c r="V19" s="41" t="s">
        <v>6696</v>
      </c>
      <c r="W19" s="310"/>
      <c r="X19" s="310"/>
      <c r="Y19" s="310"/>
      <c r="Z19" s="310"/>
      <c r="AA19" s="310"/>
      <c r="AB19" s="310"/>
    </row>
    <row r="20" spans="1:28" s="2" customFormat="1">
      <c r="A20" s="14">
        <f t="shared" si="0"/>
        <v>16</v>
      </c>
      <c r="B20" s="289" t="s">
        <v>7001</v>
      </c>
      <c r="C20" s="290"/>
      <c r="D20" s="290"/>
      <c r="E20" s="290"/>
      <c r="F20" s="291"/>
      <c r="G20" s="292" t="str">
        <f t="shared" si="1"/>
        <v>SYSTEM_UPDATE_DATE</v>
      </c>
      <c r="H20" s="293"/>
      <c r="I20" s="293"/>
      <c r="J20" s="294"/>
      <c r="K20" s="295" t="str">
        <f t="shared" si="2"/>
        <v>Date</v>
      </c>
      <c r="L20" s="296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85"/>
      <c r="R20" s="286"/>
      <c r="S20" s="286"/>
      <c r="T20" s="286"/>
      <c r="U20" s="287"/>
      <c r="V20" s="37" t="s">
        <v>7002</v>
      </c>
      <c r="W20" s="288"/>
      <c r="X20" s="288"/>
      <c r="Y20" s="288"/>
      <c r="Z20" s="288"/>
      <c r="AA20" s="288"/>
      <c r="AB20" s="288"/>
    </row>
  </sheetData>
  <mergeCells count="98"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W14:AB14"/>
    <mergeCell ref="B12:F12"/>
    <mergeCell ref="G12:J12"/>
    <mergeCell ref="K12:L12"/>
    <mergeCell ref="Q12:U12"/>
    <mergeCell ref="W12:AB12"/>
    <mergeCell ref="W13:AB13"/>
    <mergeCell ref="B13:F13"/>
    <mergeCell ref="G13:J13"/>
    <mergeCell ref="K13:L13"/>
    <mergeCell ref="Q13:U13"/>
    <mergeCell ref="B14:F14"/>
    <mergeCell ref="G14:J14"/>
    <mergeCell ref="K14:L14"/>
    <mergeCell ref="Q14:U14"/>
    <mergeCell ref="B11:F11"/>
    <mergeCell ref="G11:J11"/>
    <mergeCell ref="K11:L11"/>
    <mergeCell ref="Q11:U11"/>
    <mergeCell ref="W11:AB11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</mergeCells>
  <phoneticPr fontId="4"/>
  <conditionalFormatting sqref="G5:J5">
    <cfRule type="expression" dxfId="160" priority="35" stopIfTrue="1">
      <formula>LEN(G5)&gt;30</formula>
    </cfRule>
  </conditionalFormatting>
  <conditionalFormatting sqref="G8:J9">
    <cfRule type="expression" dxfId="159" priority="8" stopIfTrue="1">
      <formula>LEN(G8)&gt;30</formula>
    </cfRule>
  </conditionalFormatting>
  <conditionalFormatting sqref="G6:J7">
    <cfRule type="expression" dxfId="158" priority="9" stopIfTrue="1">
      <formula>LEN(G6)&gt;30</formula>
    </cfRule>
  </conditionalFormatting>
  <conditionalFormatting sqref="G14:J15">
    <cfRule type="expression" dxfId="157" priority="5" stopIfTrue="1">
      <formula>LEN(G14)&gt;30</formula>
    </cfRule>
  </conditionalFormatting>
  <conditionalFormatting sqref="G16:J17">
    <cfRule type="expression" dxfId="156" priority="4" stopIfTrue="1">
      <formula>LEN(G16)&gt;30</formula>
    </cfRule>
  </conditionalFormatting>
  <conditionalFormatting sqref="G10:J11">
    <cfRule type="expression" dxfId="155" priority="7" stopIfTrue="1">
      <formula>LEN(G10)&gt;30</formula>
    </cfRule>
  </conditionalFormatting>
  <conditionalFormatting sqref="G12:J13">
    <cfRule type="expression" dxfId="154" priority="6" stopIfTrue="1">
      <formula>LEN(G12)&gt;30</formula>
    </cfRule>
  </conditionalFormatting>
  <conditionalFormatting sqref="G18:J19">
    <cfRule type="expression" dxfId="153" priority="3" stopIfTrue="1">
      <formula>LEN(G18)&gt;30</formula>
    </cfRule>
  </conditionalFormatting>
  <conditionalFormatting sqref="G20:J20">
    <cfRule type="expression" dxfId="152" priority="2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K17" sqref="K1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72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6532</v>
      </c>
      <c r="J2" s="325"/>
      <c r="K2" s="325"/>
      <c r="L2" s="325"/>
      <c r="M2" s="325"/>
      <c r="N2" s="325"/>
      <c r="O2" s="325"/>
      <c r="P2" s="326" t="str">
        <f>VLOOKUP(I2,単語,2,FALSE)</f>
        <v>T_CORP_PFAMLY_NENKIN_DET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33" t="s">
        <v>25</v>
      </c>
      <c r="X2" s="334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6938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35"/>
      <c r="X3" s="336"/>
      <c r="Y3" s="328"/>
      <c r="Z3" s="328"/>
      <c r="AA3" s="328"/>
      <c r="AB3" s="328"/>
    </row>
    <row r="4" spans="1:28" ht="14.25" thickBot="1">
      <c r="A4" s="71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1" t="s">
        <v>11</v>
      </c>
      <c r="N4" s="71" t="s">
        <v>12</v>
      </c>
      <c r="O4" s="71" t="s">
        <v>13</v>
      </c>
      <c r="P4" s="71" t="s">
        <v>14</v>
      </c>
      <c r="Q4" s="313" t="s">
        <v>15</v>
      </c>
      <c r="R4" s="313"/>
      <c r="S4" s="313"/>
      <c r="T4" s="313"/>
      <c r="U4" s="313"/>
      <c r="V4" s="71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 t="shared" ref="A5:A16" si="0">ROW()-4</f>
        <v>1</v>
      </c>
      <c r="B5" s="317" t="s">
        <v>6465</v>
      </c>
      <c r="C5" s="318"/>
      <c r="D5" s="318"/>
      <c r="E5" s="318"/>
      <c r="F5" s="319"/>
      <c r="G5" s="300" t="str">
        <f t="shared" ref="G5:G16" si="1">IF(ISNA(VLOOKUP($B5,単語,2,FALSE)),"",(VLOOKUP($B5,単語,2,FALSE)))</f>
        <v>PLAN_ID</v>
      </c>
      <c r="H5" s="301"/>
      <c r="I5" s="301"/>
      <c r="J5" s="302"/>
      <c r="K5" s="320" t="str">
        <f>IF(ISNA(VLOOKUP($B5,単語,4,FALSE)),"",(VLOOKUP($B5,単語,4,FALSE)))</f>
        <v>Varchar2</v>
      </c>
      <c r="L5" s="321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8">
        <f t="shared" si="0"/>
        <v>2</v>
      </c>
      <c r="B6" s="289" t="s">
        <v>6991</v>
      </c>
      <c r="C6" s="290"/>
      <c r="D6" s="290"/>
      <c r="E6" s="290"/>
      <c r="F6" s="291"/>
      <c r="G6" s="292" t="str">
        <f t="shared" si="1"/>
        <v>FAMILY_CD</v>
      </c>
      <c r="H6" s="293"/>
      <c r="I6" s="293"/>
      <c r="J6" s="294"/>
      <c r="K6" s="295" t="str">
        <f>IF(ISNA(VLOOKUP($B6,単語,4,FALSE)),"",(VLOOKUP($B6,単語,4,FALSE)))</f>
        <v>Char</v>
      </c>
      <c r="L6" s="296"/>
      <c r="M6" s="236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6412</v>
      </c>
      <c r="P6" s="36" t="s">
        <v>6413</v>
      </c>
      <c r="Q6" s="285"/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 s="2" customFormat="1">
      <c r="A7" s="15">
        <f t="shared" si="0"/>
        <v>3</v>
      </c>
      <c r="B7" s="297" t="s">
        <v>6721</v>
      </c>
      <c r="C7" s="298"/>
      <c r="D7" s="298"/>
      <c r="E7" s="298"/>
      <c r="F7" s="299"/>
      <c r="G7" s="300" t="str">
        <f t="shared" si="1"/>
        <v>GYO_NO</v>
      </c>
      <c r="H7" s="301"/>
      <c r="I7" s="301"/>
      <c r="J7" s="302"/>
      <c r="K7" s="303" t="s">
        <v>6490</v>
      </c>
      <c r="L7" s="304"/>
      <c r="M7" s="242">
        <v>2</v>
      </c>
      <c r="N7" s="39" t="str">
        <f t="shared" si="2"/>
        <v/>
      </c>
      <c r="O7" s="40" t="s">
        <v>6412</v>
      </c>
      <c r="P7" s="40" t="s">
        <v>6412</v>
      </c>
      <c r="Q7" s="337"/>
      <c r="R7" s="338"/>
      <c r="S7" s="338"/>
      <c r="T7" s="338"/>
      <c r="U7" s="339"/>
      <c r="V7" s="41"/>
      <c r="W7" s="310"/>
      <c r="X7" s="310"/>
      <c r="Y7" s="310"/>
      <c r="Z7" s="310"/>
      <c r="AA7" s="310"/>
      <c r="AB7" s="310"/>
    </row>
    <row r="8" spans="1:28">
      <c r="A8" s="14">
        <f t="shared" si="0"/>
        <v>4</v>
      </c>
      <c r="B8" s="289" t="s">
        <v>7035</v>
      </c>
      <c r="C8" s="290"/>
      <c r="D8" s="290"/>
      <c r="E8" s="290"/>
      <c r="F8" s="291"/>
      <c r="G8" s="292" t="str">
        <f t="shared" si="1"/>
        <v>NENKIN_TYPE_CD</v>
      </c>
      <c r="H8" s="293"/>
      <c r="I8" s="293"/>
      <c r="J8" s="294"/>
      <c r="K8" s="295" t="str">
        <f>IF(ISNA(VLOOKUP($B8,単語,4,FALSE)),"",(VLOOKUP($B8,単語,4,FALSE)))</f>
        <v>Char</v>
      </c>
      <c r="L8" s="296"/>
      <c r="M8" s="236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85"/>
      <c r="R8" s="286"/>
      <c r="S8" s="286"/>
      <c r="T8" s="286"/>
      <c r="U8" s="287"/>
      <c r="V8" s="37"/>
      <c r="W8" s="288"/>
      <c r="X8" s="288"/>
      <c r="Y8" s="288"/>
      <c r="Z8" s="288"/>
      <c r="AA8" s="288"/>
      <c r="AB8" s="288"/>
    </row>
    <row r="9" spans="1:28" s="2" customFormat="1">
      <c r="A9" s="15">
        <f t="shared" si="0"/>
        <v>5</v>
      </c>
      <c r="B9" s="297" t="s">
        <v>6723</v>
      </c>
      <c r="C9" s="298"/>
      <c r="D9" s="298"/>
      <c r="E9" s="298"/>
      <c r="F9" s="299"/>
      <c r="G9" s="300" t="str">
        <f t="shared" si="1"/>
        <v>START_NENGETSU</v>
      </c>
      <c r="H9" s="301"/>
      <c r="I9" s="301"/>
      <c r="J9" s="302"/>
      <c r="K9" s="303" t="s">
        <v>7022</v>
      </c>
      <c r="L9" s="304"/>
      <c r="M9" s="242">
        <v>6</v>
      </c>
      <c r="N9" s="39" t="str">
        <f t="shared" si="2"/>
        <v/>
      </c>
      <c r="O9" s="40"/>
      <c r="P9" s="40"/>
      <c r="Q9" s="305"/>
      <c r="R9" s="306"/>
      <c r="S9" s="306"/>
      <c r="T9" s="306"/>
      <c r="U9" s="307"/>
      <c r="V9" s="41" t="s">
        <v>6958</v>
      </c>
      <c r="W9" s="310"/>
      <c r="X9" s="310"/>
      <c r="Y9" s="310"/>
      <c r="Z9" s="310"/>
      <c r="AA9" s="310"/>
      <c r="AB9" s="310"/>
    </row>
    <row r="10" spans="1:28" s="2" customFormat="1">
      <c r="A10" s="14">
        <f t="shared" si="0"/>
        <v>6</v>
      </c>
      <c r="B10" s="289" t="s">
        <v>6725</v>
      </c>
      <c r="C10" s="290"/>
      <c r="D10" s="290"/>
      <c r="E10" s="290"/>
      <c r="F10" s="291"/>
      <c r="G10" s="292" t="str">
        <f t="shared" si="1"/>
        <v>AGE_FROM</v>
      </c>
      <c r="H10" s="293"/>
      <c r="I10" s="293"/>
      <c r="J10" s="294"/>
      <c r="K10" s="295" t="str">
        <f>IF(ISNA(VLOOKUP($B10,単語,4,FALSE)),"",(VLOOKUP($B10,単語,4,FALSE)))</f>
        <v>Number</v>
      </c>
      <c r="L10" s="296"/>
      <c r="M10" s="236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85"/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</row>
    <row r="11" spans="1:28">
      <c r="A11" s="4">
        <f t="shared" si="0"/>
        <v>7</v>
      </c>
      <c r="B11" s="297" t="s">
        <v>6724</v>
      </c>
      <c r="C11" s="298"/>
      <c r="D11" s="298"/>
      <c r="E11" s="298"/>
      <c r="F11" s="299"/>
      <c r="G11" s="300" t="str">
        <f t="shared" si="1"/>
        <v>END_NENGETSU</v>
      </c>
      <c r="H11" s="301"/>
      <c r="I11" s="301"/>
      <c r="J11" s="302"/>
      <c r="K11" s="303" t="s">
        <v>7022</v>
      </c>
      <c r="L11" s="304"/>
      <c r="M11" s="242">
        <v>6</v>
      </c>
      <c r="N11" s="39" t="str">
        <f t="shared" si="2"/>
        <v/>
      </c>
      <c r="O11" s="40"/>
      <c r="P11" s="40"/>
      <c r="Q11" s="305"/>
      <c r="R11" s="306"/>
      <c r="S11" s="306"/>
      <c r="T11" s="306"/>
      <c r="U11" s="307"/>
      <c r="V11" s="41" t="s">
        <v>6958</v>
      </c>
      <c r="W11" s="310"/>
      <c r="X11" s="310"/>
      <c r="Y11" s="310"/>
      <c r="Z11" s="310"/>
      <c r="AA11" s="310"/>
      <c r="AB11" s="310"/>
    </row>
    <row r="12" spans="1:28" s="2" customFormat="1" ht="13.5" customHeight="1">
      <c r="A12" s="14">
        <f t="shared" si="0"/>
        <v>8</v>
      </c>
      <c r="B12" s="289" t="s">
        <v>6726</v>
      </c>
      <c r="C12" s="290"/>
      <c r="D12" s="290"/>
      <c r="E12" s="290"/>
      <c r="F12" s="291"/>
      <c r="G12" s="292" t="str">
        <f t="shared" si="1"/>
        <v>AGE_TO</v>
      </c>
      <c r="H12" s="293"/>
      <c r="I12" s="293"/>
      <c r="J12" s="294"/>
      <c r="K12" s="295" t="str">
        <f>IF(ISNA(VLOOKUP($B12,単語,4,FALSE)),"",(VLOOKUP($B12,単語,4,FALSE)))</f>
        <v>Number</v>
      </c>
      <c r="L12" s="296"/>
      <c r="M12" s="236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85"/>
      <c r="R12" s="286"/>
      <c r="S12" s="286"/>
      <c r="T12" s="286"/>
      <c r="U12" s="287"/>
      <c r="V12" s="37"/>
      <c r="W12" s="288"/>
      <c r="X12" s="288"/>
      <c r="Y12" s="288"/>
      <c r="Z12" s="288"/>
      <c r="AA12" s="288"/>
      <c r="AB12" s="288"/>
    </row>
    <row r="13" spans="1:28" s="2" customFormat="1" ht="13.5" customHeight="1">
      <c r="A13" s="15">
        <f t="shared" si="0"/>
        <v>9</v>
      </c>
      <c r="B13" s="297" t="s">
        <v>2419</v>
      </c>
      <c r="C13" s="298"/>
      <c r="D13" s="298"/>
      <c r="E13" s="298"/>
      <c r="F13" s="299"/>
      <c r="G13" s="300" t="str">
        <f t="shared" si="1"/>
        <v>KANYU_TSUKISU</v>
      </c>
      <c r="H13" s="301"/>
      <c r="I13" s="301"/>
      <c r="J13" s="302"/>
      <c r="K13" s="303" t="s">
        <v>6490</v>
      </c>
      <c r="L13" s="304"/>
      <c r="M13" s="242">
        <v>3</v>
      </c>
      <c r="N13" s="39" t="str">
        <f t="shared" si="2"/>
        <v/>
      </c>
      <c r="O13" s="40"/>
      <c r="P13" s="40"/>
      <c r="Q13" s="305"/>
      <c r="R13" s="306"/>
      <c r="S13" s="306"/>
      <c r="T13" s="306"/>
      <c r="U13" s="307"/>
      <c r="V13" s="41"/>
      <c r="W13" s="310"/>
      <c r="X13" s="310"/>
      <c r="Y13" s="310"/>
      <c r="Z13" s="310"/>
      <c r="AA13" s="310"/>
      <c r="AB13" s="310"/>
    </row>
    <row r="14" spans="1:28" s="2" customFormat="1" ht="13.5" customHeight="1">
      <c r="A14" s="14">
        <f t="shared" si="0"/>
        <v>10</v>
      </c>
      <c r="B14" s="289" t="s">
        <v>6722</v>
      </c>
      <c r="C14" s="290"/>
      <c r="D14" s="290"/>
      <c r="E14" s="290"/>
      <c r="F14" s="291"/>
      <c r="G14" s="292" t="str">
        <f t="shared" si="1"/>
        <v>NENSHU</v>
      </c>
      <c r="H14" s="293"/>
      <c r="I14" s="293"/>
      <c r="J14" s="294"/>
      <c r="K14" s="295" t="str">
        <f>IF(ISNA(VLOOKUP($B14,単語,4,FALSE)),"",(VLOOKUP($B14,単語,4,FALSE)))</f>
        <v>Number</v>
      </c>
      <c r="L14" s="296"/>
      <c r="M14" s="34">
        <f>IF(ISNA(VLOOKUP($B14,単語,5,FALSE)),"",IF(ISBLANK(VLOOKUP($B14,単語,5,FALSE)),"",(VLOOKUP($B14,単語,5,FALSE))))</f>
        <v>11</v>
      </c>
      <c r="N14" s="35" t="str">
        <f t="shared" si="2"/>
        <v/>
      </c>
      <c r="O14" s="36"/>
      <c r="P14" s="36"/>
      <c r="Q14" s="285"/>
      <c r="R14" s="286"/>
      <c r="S14" s="286"/>
      <c r="T14" s="286"/>
      <c r="U14" s="287"/>
      <c r="V14" s="37"/>
      <c r="W14" s="288"/>
      <c r="X14" s="288"/>
      <c r="Y14" s="288"/>
      <c r="Z14" s="288"/>
      <c r="AA14" s="288"/>
      <c r="AB14" s="288"/>
    </row>
    <row r="15" spans="1:28" s="2" customFormat="1" ht="13.5" customHeight="1">
      <c r="A15" s="15">
        <f t="shared" si="0"/>
        <v>11</v>
      </c>
      <c r="B15" s="297" t="s">
        <v>6916</v>
      </c>
      <c r="C15" s="298"/>
      <c r="D15" s="298"/>
      <c r="E15" s="298"/>
      <c r="F15" s="299"/>
      <c r="G15" s="300" t="str">
        <f t="shared" si="1"/>
        <v>SYSTEM_CREATE_DATE</v>
      </c>
      <c r="H15" s="301"/>
      <c r="I15" s="301"/>
      <c r="J15" s="302"/>
      <c r="K15" s="303" t="str">
        <f>IF(ISNA(VLOOKUP($B15,単語,4,FALSE)),"",(VLOOKUP($B15,単語,4,FALSE)))</f>
        <v>Date</v>
      </c>
      <c r="L15" s="304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05"/>
      <c r="R15" s="306"/>
      <c r="S15" s="306"/>
      <c r="T15" s="306"/>
      <c r="U15" s="307"/>
      <c r="V15" s="41" t="s">
        <v>6696</v>
      </c>
      <c r="W15" s="310"/>
      <c r="X15" s="310"/>
      <c r="Y15" s="310"/>
      <c r="Z15" s="310"/>
      <c r="AA15" s="310"/>
      <c r="AB15" s="310"/>
    </row>
    <row r="16" spans="1:28" s="2" customFormat="1">
      <c r="A16" s="14">
        <f t="shared" si="0"/>
        <v>12</v>
      </c>
      <c r="B16" s="289" t="s">
        <v>6917</v>
      </c>
      <c r="C16" s="290"/>
      <c r="D16" s="290"/>
      <c r="E16" s="290"/>
      <c r="F16" s="291"/>
      <c r="G16" s="292" t="str">
        <f t="shared" si="1"/>
        <v>SYSTEM_UPDATE_DATE</v>
      </c>
      <c r="H16" s="293"/>
      <c r="I16" s="293"/>
      <c r="J16" s="294"/>
      <c r="K16" s="295" t="str">
        <f>IF(ISNA(VLOOKUP($B16,単語,4,FALSE)),"",(VLOOKUP($B16,単語,4,FALSE)))</f>
        <v>Date</v>
      </c>
      <c r="L16" s="296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85"/>
      <c r="R16" s="286"/>
      <c r="S16" s="286"/>
      <c r="T16" s="286"/>
      <c r="U16" s="287"/>
      <c r="V16" s="37" t="s">
        <v>6988</v>
      </c>
      <c r="W16" s="288"/>
      <c r="X16" s="288"/>
      <c r="Y16" s="288"/>
      <c r="Z16" s="288"/>
      <c r="AA16" s="288"/>
      <c r="AB16" s="288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51" priority="18" stopIfTrue="1">
      <formula>LEN(G5)&gt;30</formula>
    </cfRule>
  </conditionalFormatting>
  <conditionalFormatting sqref="G6:J6">
    <cfRule type="expression" dxfId="150" priority="15" stopIfTrue="1">
      <formula>LEN(G6)&gt;30</formula>
    </cfRule>
  </conditionalFormatting>
  <conditionalFormatting sqref="G15:J15">
    <cfRule type="expression" dxfId="149" priority="3" stopIfTrue="1">
      <formula>LEN(G15)&gt;30</formula>
    </cfRule>
  </conditionalFormatting>
  <conditionalFormatting sqref="G9:J9">
    <cfRule type="expression" dxfId="148" priority="9" stopIfTrue="1">
      <formula>LEN(G9)&gt;30</formula>
    </cfRule>
  </conditionalFormatting>
  <conditionalFormatting sqref="G10:J11">
    <cfRule type="expression" dxfId="147" priority="8" stopIfTrue="1">
      <formula>LEN(G10)&gt;30</formula>
    </cfRule>
  </conditionalFormatting>
  <conditionalFormatting sqref="G7:J8">
    <cfRule type="expression" dxfId="146" priority="7" stopIfTrue="1">
      <formula>LEN(G7)&gt;30</formula>
    </cfRule>
  </conditionalFormatting>
  <conditionalFormatting sqref="G13:J13">
    <cfRule type="expression" dxfId="145" priority="6" stopIfTrue="1">
      <formula>LEN(G13)&gt;30</formula>
    </cfRule>
  </conditionalFormatting>
  <conditionalFormatting sqref="G16:J16">
    <cfRule type="expression" dxfId="144" priority="2" stopIfTrue="1">
      <formula>LEN(G16)&gt;30</formula>
    </cfRule>
  </conditionalFormatting>
  <conditionalFormatting sqref="G12:J12">
    <cfRule type="expression" dxfId="143" priority="4" stopIfTrue="1">
      <formula>LEN(G12)&gt;30</formula>
    </cfRule>
  </conditionalFormatting>
  <conditionalFormatting sqref="G14:J14">
    <cfRule type="expression" dxfId="142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6" sqref="G6:J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72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6418</v>
      </c>
      <c r="J2" s="325"/>
      <c r="K2" s="325"/>
      <c r="L2" s="325"/>
      <c r="M2" s="325"/>
      <c r="N2" s="325"/>
      <c r="O2" s="325"/>
      <c r="P2" s="326" t="str">
        <f>VLOOKUP(I2,単語,2,FALSE)</f>
        <v>T_CORP_KEIEISHA_RBUNSEKI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27" t="s">
        <v>25</v>
      </c>
      <c r="X2" s="325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6941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1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1" t="s">
        <v>11</v>
      </c>
      <c r="N4" s="71" t="s">
        <v>12</v>
      </c>
      <c r="O4" s="71" t="s">
        <v>13</v>
      </c>
      <c r="P4" s="71" t="s">
        <v>14</v>
      </c>
      <c r="Q4" s="313" t="s">
        <v>15</v>
      </c>
      <c r="R4" s="313"/>
      <c r="S4" s="313"/>
      <c r="T4" s="313"/>
      <c r="U4" s="313"/>
      <c r="V4" s="71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 t="shared" ref="A5:A29" si="0">ROW()-4</f>
        <v>1</v>
      </c>
      <c r="B5" s="317" t="s">
        <v>6465</v>
      </c>
      <c r="C5" s="318"/>
      <c r="D5" s="318"/>
      <c r="E5" s="318"/>
      <c r="F5" s="319"/>
      <c r="G5" s="300" t="str">
        <f t="shared" ref="G5:G29" si="1">IF(ISNA(VLOOKUP($B5,単語,2,FALSE)),"",(VLOOKUP($B5,単語,2,FALSE)))</f>
        <v>PLAN_ID</v>
      </c>
      <c r="H5" s="301"/>
      <c r="I5" s="301"/>
      <c r="J5" s="302"/>
      <c r="K5" s="320" t="str">
        <f>IF(ISNA(VLOOKUP($B5,単語,4,FALSE)),"",(VLOOKUP($B5,単語,4,FALSE)))</f>
        <v>Varchar2</v>
      </c>
      <c r="L5" s="321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8">
        <f t="shared" si="0"/>
        <v>2</v>
      </c>
      <c r="B6" s="289" t="s">
        <v>6697</v>
      </c>
      <c r="C6" s="290"/>
      <c r="D6" s="290"/>
      <c r="E6" s="290"/>
      <c r="F6" s="291"/>
      <c r="G6" s="292" t="str">
        <f t="shared" si="1"/>
        <v>KARIRE_SOTOGAKU</v>
      </c>
      <c r="H6" s="293"/>
      <c r="I6" s="293"/>
      <c r="J6" s="294"/>
      <c r="K6" s="295" t="str">
        <f>IF(ISNA(VLOOKUP($B6,単語,4,FALSE)),"",(VLOOKUP($B6,単語,4,FALSE)))</f>
        <v>Number</v>
      </c>
      <c r="L6" s="296"/>
      <c r="M6" s="34">
        <f>IF(ISNA(VLOOKUP($B6,単語,5,FALSE)),"",IF(ISBLANK(VLOOKUP($B6,単語,5,FALSE)),"",(VLOOKUP($B6,単語,5,FALSE))))</f>
        <v>11</v>
      </c>
      <c r="N6" s="35" t="str">
        <f>IF(ISNA(VLOOKUP($B6,単語,6,FALSE)),"",IF(ISBLANK(VLOOKUP($B6,単語,6,FALSE)),"",(VLOOKUP($B6,単語,6,FALSE))))</f>
        <v/>
      </c>
      <c r="O6" s="36"/>
      <c r="P6" s="36"/>
      <c r="Q6" s="285" t="s">
        <v>7044</v>
      </c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>
      <c r="A7" s="4">
        <f t="shared" si="0"/>
        <v>3</v>
      </c>
      <c r="B7" s="297" t="s">
        <v>7040</v>
      </c>
      <c r="C7" s="298"/>
      <c r="D7" s="298"/>
      <c r="E7" s="298"/>
      <c r="F7" s="299"/>
      <c r="G7" s="300" t="str">
        <f>IF(ISNA(VLOOKUP($B7,単語,2,FALSE)),"",(VLOOKUP($B7,単語,2,FALSE)))</f>
        <v>CHOIKIN_SANSHUTSU_KB_CD</v>
      </c>
      <c r="H7" s="301"/>
      <c r="I7" s="301"/>
      <c r="J7" s="302"/>
      <c r="K7" s="303" t="str">
        <f>IF(ISNA(VLOOKUP($B7,単語,4,FALSE)),"",(VLOOKUP($B7,単語,4,FALSE)))</f>
        <v>Char</v>
      </c>
      <c r="L7" s="304"/>
      <c r="M7" s="38">
        <f>IF(ISNA(VLOOKUP($B7,単語,5,FALSE)),"",IF(ISBLANK(VLOOKUP($B7,単語,5,FALSE)),"",(VLOOKUP($B7,単語,5,FALSE))))</f>
        <v>1</v>
      </c>
      <c r="N7" s="39"/>
      <c r="O7" s="40"/>
      <c r="P7" s="40"/>
      <c r="Q7" s="305" t="s">
        <v>7045</v>
      </c>
      <c r="R7" s="306"/>
      <c r="S7" s="306"/>
      <c r="T7" s="306"/>
      <c r="U7" s="307"/>
      <c r="V7" s="41"/>
      <c r="W7" s="310"/>
      <c r="X7" s="310"/>
      <c r="Y7" s="310"/>
      <c r="Z7" s="310"/>
      <c r="AA7" s="310"/>
      <c r="AB7" s="310"/>
    </row>
    <row r="8" spans="1:28" s="2" customFormat="1">
      <c r="A8" s="14">
        <f t="shared" si="0"/>
        <v>4</v>
      </c>
      <c r="B8" s="289" t="s">
        <v>7037</v>
      </c>
      <c r="C8" s="290"/>
      <c r="D8" s="290"/>
      <c r="E8" s="290"/>
      <c r="F8" s="291"/>
      <c r="G8" s="292" t="str">
        <f>IF(ISNA(VLOOKUP($B8,単語,2,FALSE)),"",(VLOOKUP($B8,単語,2,FALSE)))</f>
        <v>KENAOSI_SHIKIN_SB_CD</v>
      </c>
      <c r="H8" s="293"/>
      <c r="I8" s="293"/>
      <c r="J8" s="294"/>
      <c r="K8" s="295" t="str">
        <f>IF(ISNA(VLOOKUP($B8,単語,4,FALSE)),"",(VLOOKUP($B8,単語,4,FALSE)))</f>
        <v>Char</v>
      </c>
      <c r="L8" s="296"/>
      <c r="M8" s="34">
        <f>IF(ISNA(VLOOKUP($B8,単語,5,FALSE)),"",IF(ISBLANK(VLOOKUP($B8,単語,5,FALSE)),"",(VLOOKUP($B8,単語,5,FALSE))))</f>
        <v>1</v>
      </c>
      <c r="N8" s="35" t="str">
        <f>IF(ISNA(VLOOKUP($B8,単語,6,FALSE)),"",IF(ISBLANK(VLOOKUP($B8,単語,6,FALSE)),"",(VLOOKUP($B8,単語,6,FALSE))))</f>
        <v/>
      </c>
      <c r="O8" s="36"/>
      <c r="P8" s="36"/>
      <c r="Q8" s="285" t="s">
        <v>7045</v>
      </c>
      <c r="R8" s="286"/>
      <c r="S8" s="286"/>
      <c r="T8" s="286"/>
      <c r="U8" s="287"/>
      <c r="V8" s="37"/>
      <c r="W8" s="288"/>
      <c r="X8" s="288"/>
      <c r="Y8" s="288"/>
      <c r="Z8" s="288"/>
      <c r="AA8" s="288"/>
      <c r="AB8" s="288"/>
    </row>
    <row r="9" spans="1:28">
      <c r="A9" s="4">
        <f t="shared" si="0"/>
        <v>5</v>
      </c>
      <c r="B9" s="297" t="s">
        <v>113</v>
      </c>
      <c r="C9" s="298"/>
      <c r="D9" s="298"/>
      <c r="E9" s="298"/>
      <c r="F9" s="299"/>
      <c r="G9" s="300" t="str">
        <f t="shared" si="1"/>
        <v>JUGYOIN_KYUYO</v>
      </c>
      <c r="H9" s="301"/>
      <c r="I9" s="301"/>
      <c r="J9" s="302"/>
      <c r="K9" s="303" t="str">
        <f>IF(ISNA(VLOOKUP($B9,単語,4,FALSE)),"",(VLOOKUP($B9,単語,4,FALSE)))</f>
        <v>Number</v>
      </c>
      <c r="L9" s="304"/>
      <c r="M9" s="38">
        <f>IF(ISNA(VLOOKUP($B9,単語,5,FALSE)),"",IF(ISBLANK(VLOOKUP($B9,単語,5,FALSE)),"",(VLOOKUP($B9,単語,5,FALSE))))</f>
        <v>11</v>
      </c>
      <c r="N9" s="39" t="str">
        <f>IF(ISNA(VLOOKUP($B9,単語,6,FALSE)),"",IF(ISBLANK(VLOOKUP($B9,単語,6,FALSE)),"",(VLOOKUP($B9,単語,6,FALSE))))</f>
        <v/>
      </c>
      <c r="O9" s="40"/>
      <c r="P9" s="40"/>
      <c r="Q9" s="305" t="s">
        <v>7045</v>
      </c>
      <c r="R9" s="306"/>
      <c r="S9" s="306"/>
      <c r="T9" s="306"/>
      <c r="U9" s="307"/>
      <c r="V9" s="41"/>
      <c r="W9" s="310"/>
      <c r="X9" s="310"/>
      <c r="Y9" s="310"/>
      <c r="Z9" s="310"/>
      <c r="AA9" s="310"/>
      <c r="AB9" s="310"/>
    </row>
    <row r="10" spans="1:28" s="2" customFormat="1">
      <c r="A10" s="14">
        <f t="shared" si="0"/>
        <v>6</v>
      </c>
      <c r="B10" s="289" t="s">
        <v>114</v>
      </c>
      <c r="C10" s="290"/>
      <c r="D10" s="290"/>
      <c r="E10" s="290"/>
      <c r="F10" s="291"/>
      <c r="G10" s="292" t="str">
        <f t="shared" si="1"/>
        <v>JUGYOIN_KYUYO_HYOGETU</v>
      </c>
      <c r="H10" s="293"/>
      <c r="I10" s="293"/>
      <c r="J10" s="294"/>
      <c r="K10" s="311" t="s">
        <v>6490</v>
      </c>
      <c r="L10" s="312"/>
      <c r="M10" s="237">
        <v>3</v>
      </c>
      <c r="N10" s="35" t="str">
        <f>IF(ISNA(VLOOKUP($B10,単語,6,FALSE)),"",IF(ISBLANK(VLOOKUP($B10,単語,6,FALSE)),"",(VLOOKUP($B10,単語,6,FALSE))))</f>
        <v/>
      </c>
      <c r="O10" s="36"/>
      <c r="P10" s="36"/>
      <c r="Q10" s="285" t="s">
        <v>7045</v>
      </c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</row>
    <row r="11" spans="1:28" s="2" customFormat="1">
      <c r="A11" s="15">
        <f t="shared" si="0"/>
        <v>7</v>
      </c>
      <c r="B11" s="297" t="s">
        <v>7053</v>
      </c>
      <c r="C11" s="298"/>
      <c r="D11" s="298"/>
      <c r="E11" s="298"/>
      <c r="F11" s="299"/>
      <c r="G11" s="300" t="str">
        <f t="shared" si="1"/>
        <v>KENAOSI_SHIKIN_INPUT</v>
      </c>
      <c r="H11" s="301"/>
      <c r="I11" s="301"/>
      <c r="J11" s="302"/>
      <c r="K11" s="303" t="str">
        <f t="shared" ref="K11:K29" si="2">IF(ISNA(VLOOKUP($B11,単語,4,FALSE)),"",(VLOOKUP($B11,単語,4,FALSE)))</f>
        <v>Number</v>
      </c>
      <c r="L11" s="304"/>
      <c r="M11" s="38">
        <f t="shared" ref="M11:M29" si="3">IF(ISNA(VLOOKUP($B11,単語,5,FALSE)),"",IF(ISBLANK(VLOOKUP($B11,単語,5,FALSE)),"",(VLOOKUP($B11,単語,5,FALSE))))</f>
        <v>11</v>
      </c>
      <c r="N11" s="39" t="str">
        <f t="shared" ref="N11:N29" si="4">IF(ISNA(VLOOKUP($B11,単語,6,FALSE)),"",IF(ISBLANK(VLOOKUP($B11,単語,6,FALSE)),"",(VLOOKUP($B11,単語,6,FALSE))))</f>
        <v/>
      </c>
      <c r="O11" s="40"/>
      <c r="P11" s="40"/>
      <c r="Q11" s="305" t="s">
        <v>7045</v>
      </c>
      <c r="R11" s="306"/>
      <c r="S11" s="306"/>
      <c r="T11" s="306"/>
      <c r="U11" s="307"/>
      <c r="V11" s="41"/>
      <c r="W11" s="310"/>
      <c r="X11" s="310"/>
      <c r="Y11" s="310"/>
      <c r="Z11" s="310"/>
      <c r="AA11" s="310"/>
      <c r="AB11" s="310"/>
    </row>
    <row r="12" spans="1:28" s="386" customFormat="1">
      <c r="A12" s="369">
        <f t="shared" si="0"/>
        <v>8</v>
      </c>
      <c r="B12" s="370" t="s">
        <v>6422</v>
      </c>
      <c r="C12" s="371"/>
      <c r="D12" s="371"/>
      <c r="E12" s="371"/>
      <c r="F12" s="372"/>
      <c r="G12" s="373" t="str">
        <f t="shared" si="1"/>
        <v>KENAOSI_SHIKIN_SHISAN</v>
      </c>
      <c r="H12" s="374"/>
      <c r="I12" s="374"/>
      <c r="J12" s="375"/>
      <c r="K12" s="376" t="str">
        <f t="shared" si="2"/>
        <v>Number</v>
      </c>
      <c r="L12" s="377"/>
      <c r="M12" s="378">
        <f t="shared" si="3"/>
        <v>11</v>
      </c>
      <c r="N12" s="379" t="str">
        <f t="shared" si="4"/>
        <v/>
      </c>
      <c r="O12" s="380"/>
      <c r="P12" s="380"/>
      <c r="Q12" s="381" t="s">
        <v>7050</v>
      </c>
      <c r="R12" s="382"/>
      <c r="S12" s="382"/>
      <c r="T12" s="382"/>
      <c r="U12" s="383"/>
      <c r="V12" s="384"/>
      <c r="W12" s="385"/>
      <c r="X12" s="385"/>
      <c r="Y12" s="385"/>
      <c r="Z12" s="385"/>
      <c r="AA12" s="385"/>
      <c r="AB12" s="385"/>
    </row>
    <row r="13" spans="1:28" s="388" customFormat="1" ht="13.5" customHeight="1">
      <c r="A13" s="387">
        <f t="shared" si="0"/>
        <v>9</v>
      </c>
      <c r="B13" s="370" t="s">
        <v>6423</v>
      </c>
      <c r="C13" s="371"/>
      <c r="D13" s="371"/>
      <c r="E13" s="371"/>
      <c r="F13" s="372"/>
      <c r="G13" s="373" t="str">
        <f t="shared" si="1"/>
        <v>GENKA_SYOKYAKUHI</v>
      </c>
      <c r="H13" s="374"/>
      <c r="I13" s="374"/>
      <c r="J13" s="375"/>
      <c r="K13" s="376" t="str">
        <f t="shared" si="2"/>
        <v>Number</v>
      </c>
      <c r="L13" s="377"/>
      <c r="M13" s="378">
        <f t="shared" si="3"/>
        <v>11</v>
      </c>
      <c r="N13" s="379" t="str">
        <f t="shared" si="4"/>
        <v/>
      </c>
      <c r="O13" s="380"/>
      <c r="P13" s="380"/>
      <c r="Q13" s="381" t="s">
        <v>7052</v>
      </c>
      <c r="R13" s="382"/>
      <c r="S13" s="382"/>
      <c r="T13" s="382"/>
      <c r="U13" s="383"/>
      <c r="V13" s="384"/>
      <c r="W13" s="385"/>
      <c r="X13" s="385"/>
      <c r="Y13" s="385"/>
      <c r="Z13" s="385"/>
      <c r="AA13" s="385"/>
      <c r="AB13" s="385"/>
    </row>
    <row r="14" spans="1:28" s="388" customFormat="1" ht="13.5" customHeight="1">
      <c r="A14" s="387">
        <f t="shared" si="0"/>
        <v>10</v>
      </c>
      <c r="B14" s="370" t="s">
        <v>6419</v>
      </c>
      <c r="C14" s="371"/>
      <c r="D14" s="371"/>
      <c r="E14" s="371"/>
      <c r="F14" s="372"/>
      <c r="G14" s="373" t="str">
        <f t="shared" si="1"/>
        <v>KEJO_RIEKI</v>
      </c>
      <c r="H14" s="374"/>
      <c r="I14" s="374"/>
      <c r="J14" s="375"/>
      <c r="K14" s="376" t="str">
        <f t="shared" si="2"/>
        <v>Number</v>
      </c>
      <c r="L14" s="377"/>
      <c r="M14" s="378">
        <f t="shared" si="3"/>
        <v>11</v>
      </c>
      <c r="N14" s="379" t="str">
        <f t="shared" si="4"/>
        <v/>
      </c>
      <c r="O14" s="380"/>
      <c r="P14" s="380"/>
      <c r="Q14" s="381" t="s">
        <v>7050</v>
      </c>
      <c r="R14" s="382"/>
      <c r="S14" s="382"/>
      <c r="T14" s="382"/>
      <c r="U14" s="383"/>
      <c r="V14" s="384"/>
      <c r="W14" s="385"/>
      <c r="X14" s="385"/>
      <c r="Y14" s="385"/>
      <c r="Z14" s="385"/>
      <c r="AA14" s="385"/>
      <c r="AB14" s="385"/>
    </row>
    <row r="15" spans="1:28" s="388" customFormat="1" ht="13.5" customHeight="1">
      <c r="A15" s="387">
        <f t="shared" si="0"/>
        <v>11</v>
      </c>
      <c r="B15" s="370" t="s">
        <v>6424</v>
      </c>
      <c r="C15" s="371"/>
      <c r="D15" s="371"/>
      <c r="E15" s="371"/>
      <c r="F15" s="372"/>
      <c r="G15" s="373" t="str">
        <f t="shared" si="1"/>
        <v>KENAOSI_SHIKIN_KEKKA</v>
      </c>
      <c r="H15" s="374"/>
      <c r="I15" s="374"/>
      <c r="J15" s="375"/>
      <c r="K15" s="376" t="str">
        <f t="shared" si="2"/>
        <v>Number</v>
      </c>
      <c r="L15" s="377"/>
      <c r="M15" s="378">
        <f t="shared" si="3"/>
        <v>11</v>
      </c>
      <c r="N15" s="379" t="str">
        <f t="shared" si="4"/>
        <v/>
      </c>
      <c r="O15" s="380"/>
      <c r="P15" s="380"/>
      <c r="Q15" s="381" t="s">
        <v>7052</v>
      </c>
      <c r="R15" s="382"/>
      <c r="S15" s="382"/>
      <c r="T15" s="382"/>
      <c r="U15" s="383"/>
      <c r="V15" s="384"/>
      <c r="W15" s="385"/>
      <c r="X15" s="385"/>
      <c r="Y15" s="385"/>
      <c r="Z15" s="385"/>
      <c r="AA15" s="385"/>
      <c r="AB15" s="385"/>
    </row>
    <row r="16" spans="1:28" s="386" customFormat="1">
      <c r="A16" s="369">
        <f t="shared" si="0"/>
        <v>12</v>
      </c>
      <c r="B16" s="370" t="s">
        <v>30</v>
      </c>
      <c r="C16" s="371"/>
      <c r="D16" s="371"/>
      <c r="E16" s="371"/>
      <c r="F16" s="372"/>
      <c r="G16" s="373" t="str">
        <f t="shared" si="1"/>
        <v>NOZE_JUMBI_SHIKIN</v>
      </c>
      <c r="H16" s="374"/>
      <c r="I16" s="374"/>
      <c r="J16" s="375"/>
      <c r="K16" s="376" t="str">
        <f t="shared" si="2"/>
        <v>Number</v>
      </c>
      <c r="L16" s="377"/>
      <c r="M16" s="378">
        <f t="shared" si="3"/>
        <v>11</v>
      </c>
      <c r="N16" s="379" t="str">
        <f t="shared" si="4"/>
        <v/>
      </c>
      <c r="O16" s="380"/>
      <c r="P16" s="380"/>
      <c r="Q16" s="381" t="s">
        <v>7050</v>
      </c>
      <c r="R16" s="382"/>
      <c r="S16" s="382"/>
      <c r="T16" s="382"/>
      <c r="U16" s="383"/>
      <c r="V16" s="384"/>
      <c r="W16" s="385"/>
      <c r="X16" s="385"/>
      <c r="Y16" s="385"/>
      <c r="Z16" s="385"/>
      <c r="AA16" s="385"/>
      <c r="AB16" s="385"/>
    </row>
    <row r="17" spans="1:28" s="386" customFormat="1">
      <c r="A17" s="369">
        <f t="shared" si="0"/>
        <v>13</v>
      </c>
      <c r="B17" s="370" t="s">
        <v>6420</v>
      </c>
      <c r="C17" s="371"/>
      <c r="D17" s="371"/>
      <c r="E17" s="371"/>
      <c r="F17" s="372"/>
      <c r="G17" s="373" t="str">
        <f t="shared" si="1"/>
        <v>KEIEISHA_RISK_TAISAKIN</v>
      </c>
      <c r="H17" s="374"/>
      <c r="I17" s="374"/>
      <c r="J17" s="375"/>
      <c r="K17" s="376" t="str">
        <f t="shared" si="2"/>
        <v>Number</v>
      </c>
      <c r="L17" s="377"/>
      <c r="M17" s="378">
        <f t="shared" si="3"/>
        <v>11</v>
      </c>
      <c r="N17" s="379" t="str">
        <f t="shared" si="4"/>
        <v/>
      </c>
      <c r="O17" s="380"/>
      <c r="P17" s="380"/>
      <c r="Q17" s="381" t="s">
        <v>7052</v>
      </c>
      <c r="R17" s="382"/>
      <c r="S17" s="382"/>
      <c r="T17" s="382"/>
      <c r="U17" s="383"/>
      <c r="V17" s="384"/>
      <c r="W17" s="385"/>
      <c r="X17" s="385"/>
      <c r="Y17" s="385"/>
      <c r="Z17" s="385"/>
      <c r="AA17" s="385"/>
      <c r="AB17" s="385"/>
    </row>
    <row r="18" spans="1:28" s="388" customFormat="1">
      <c r="A18" s="387">
        <f t="shared" si="0"/>
        <v>14</v>
      </c>
      <c r="B18" s="370" t="s">
        <v>6425</v>
      </c>
      <c r="C18" s="371"/>
      <c r="D18" s="371"/>
      <c r="E18" s="371"/>
      <c r="F18" s="372"/>
      <c r="G18" s="373" t="str">
        <f t="shared" si="1"/>
        <v>YAKUIN_ZNEN_SHIBOJI</v>
      </c>
      <c r="H18" s="374"/>
      <c r="I18" s="374"/>
      <c r="J18" s="375"/>
      <c r="K18" s="376" t="str">
        <f t="shared" si="2"/>
        <v>Number</v>
      </c>
      <c r="L18" s="377"/>
      <c r="M18" s="378">
        <f t="shared" si="3"/>
        <v>11</v>
      </c>
      <c r="N18" s="379" t="str">
        <f t="shared" si="4"/>
        <v/>
      </c>
      <c r="O18" s="380"/>
      <c r="P18" s="380"/>
      <c r="Q18" s="381" t="s">
        <v>7050</v>
      </c>
      <c r="R18" s="382"/>
      <c r="S18" s="382"/>
      <c r="T18" s="382"/>
      <c r="U18" s="383"/>
      <c r="V18" s="384"/>
      <c r="W18" s="385"/>
      <c r="X18" s="385"/>
      <c r="Y18" s="385"/>
      <c r="Z18" s="385"/>
      <c r="AA18" s="385"/>
      <c r="AB18" s="385"/>
    </row>
    <row r="19" spans="1:28" s="386" customFormat="1">
      <c r="A19" s="369">
        <f t="shared" si="0"/>
        <v>15</v>
      </c>
      <c r="B19" s="370" t="s">
        <v>36</v>
      </c>
      <c r="C19" s="371"/>
      <c r="D19" s="371"/>
      <c r="E19" s="371"/>
      <c r="F19" s="372"/>
      <c r="G19" s="373" t="str">
        <f t="shared" si="1"/>
        <v>SHIBO_TAISHOKUKIN</v>
      </c>
      <c r="H19" s="374"/>
      <c r="I19" s="374"/>
      <c r="J19" s="375"/>
      <c r="K19" s="376" t="str">
        <f t="shared" si="2"/>
        <v>Number</v>
      </c>
      <c r="L19" s="377"/>
      <c r="M19" s="378">
        <f t="shared" si="3"/>
        <v>11</v>
      </c>
      <c r="N19" s="379" t="str">
        <f t="shared" si="4"/>
        <v/>
      </c>
      <c r="O19" s="380"/>
      <c r="P19" s="380"/>
      <c r="Q19" s="381" t="s">
        <v>7052</v>
      </c>
      <c r="R19" s="382"/>
      <c r="S19" s="382"/>
      <c r="T19" s="382"/>
      <c r="U19" s="383"/>
      <c r="V19" s="384"/>
      <c r="W19" s="385"/>
      <c r="X19" s="385"/>
      <c r="Y19" s="385"/>
      <c r="Z19" s="385"/>
      <c r="AA19" s="385"/>
      <c r="AB19" s="385"/>
    </row>
    <row r="20" spans="1:28" s="388" customFormat="1">
      <c r="A20" s="387">
        <f t="shared" si="0"/>
        <v>16</v>
      </c>
      <c r="B20" s="370" t="s">
        <v>6570</v>
      </c>
      <c r="C20" s="371"/>
      <c r="D20" s="371"/>
      <c r="E20" s="371"/>
      <c r="F20" s="372"/>
      <c r="G20" s="373" t="str">
        <f t="shared" si="1"/>
        <v>CHOIKIN</v>
      </c>
      <c r="H20" s="374"/>
      <c r="I20" s="374"/>
      <c r="J20" s="375"/>
      <c r="K20" s="376" t="str">
        <f t="shared" si="2"/>
        <v>Number</v>
      </c>
      <c r="L20" s="377"/>
      <c r="M20" s="378">
        <f t="shared" si="3"/>
        <v>11</v>
      </c>
      <c r="N20" s="379" t="str">
        <f t="shared" si="4"/>
        <v/>
      </c>
      <c r="O20" s="380"/>
      <c r="P20" s="380"/>
      <c r="Q20" s="381" t="s">
        <v>7050</v>
      </c>
      <c r="R20" s="382"/>
      <c r="S20" s="382"/>
      <c r="T20" s="382"/>
      <c r="U20" s="383"/>
      <c r="V20" s="384"/>
      <c r="W20" s="385"/>
      <c r="X20" s="385"/>
      <c r="Y20" s="385"/>
      <c r="Z20" s="385"/>
      <c r="AA20" s="385"/>
      <c r="AB20" s="385"/>
    </row>
    <row r="21" spans="1:28" s="388" customFormat="1">
      <c r="A21" s="387">
        <f t="shared" si="0"/>
        <v>17</v>
      </c>
      <c r="B21" s="370" t="s">
        <v>40</v>
      </c>
      <c r="C21" s="371"/>
      <c r="D21" s="371"/>
      <c r="E21" s="371"/>
      <c r="F21" s="372"/>
      <c r="G21" s="373" t="str">
        <f t="shared" si="1"/>
        <v>KEIEI_HITSUYO_HSGKEI</v>
      </c>
      <c r="H21" s="374"/>
      <c r="I21" s="374"/>
      <c r="J21" s="375"/>
      <c r="K21" s="376" t="str">
        <f t="shared" si="2"/>
        <v>Number</v>
      </c>
      <c r="L21" s="377"/>
      <c r="M21" s="378">
        <f t="shared" si="3"/>
        <v>11</v>
      </c>
      <c r="N21" s="379" t="str">
        <f t="shared" si="4"/>
        <v/>
      </c>
      <c r="O21" s="380"/>
      <c r="P21" s="380"/>
      <c r="Q21" s="381" t="s">
        <v>7052</v>
      </c>
      <c r="R21" s="382"/>
      <c r="S21" s="382"/>
      <c r="T21" s="382"/>
      <c r="U21" s="383"/>
      <c r="V21" s="384"/>
      <c r="W21" s="385"/>
      <c r="X21" s="385"/>
      <c r="Y21" s="385"/>
      <c r="Z21" s="385"/>
      <c r="AA21" s="385"/>
      <c r="AB21" s="385"/>
    </row>
    <row r="22" spans="1:28" s="405" customFormat="1" ht="13.5" customHeight="1">
      <c r="A22" s="389">
        <f>ROW()-4</f>
        <v>18</v>
      </c>
      <c r="B22" s="390" t="s">
        <v>7046</v>
      </c>
      <c r="C22" s="391"/>
      <c r="D22" s="391"/>
      <c r="E22" s="391"/>
      <c r="F22" s="392"/>
      <c r="G22" s="300" t="str">
        <f t="shared" si="1"/>
        <v/>
      </c>
      <c r="H22" s="301"/>
      <c r="I22" s="301"/>
      <c r="J22" s="302"/>
      <c r="K22" s="303" t="str">
        <f t="shared" si="2"/>
        <v/>
      </c>
      <c r="L22" s="304"/>
      <c r="M22" s="38" t="str">
        <f t="shared" si="3"/>
        <v/>
      </c>
      <c r="N22" s="399" t="str">
        <f>IF(ISNA(VLOOKUP($B22,単語,6,FALSE)),"",IF(ISBLANK(VLOOKUP($B22,単語,6,FALSE)),"",(VLOOKUP($B22,単語,6,FALSE))))</f>
        <v/>
      </c>
      <c r="O22" s="400"/>
      <c r="P22" s="400"/>
      <c r="Q22" s="401" t="s">
        <v>7044</v>
      </c>
      <c r="R22" s="402"/>
      <c r="S22" s="402"/>
      <c r="T22" s="402"/>
      <c r="U22" s="403"/>
      <c r="V22" s="268"/>
      <c r="W22" s="404"/>
      <c r="X22" s="404"/>
      <c r="Y22" s="404"/>
      <c r="Z22" s="404"/>
      <c r="AA22" s="404"/>
      <c r="AB22" s="404"/>
    </row>
    <row r="23" spans="1:28" s="405" customFormat="1" ht="13.5" customHeight="1">
      <c r="A23" s="389">
        <f>ROW()-4</f>
        <v>19</v>
      </c>
      <c r="B23" s="390" t="s">
        <v>7047</v>
      </c>
      <c r="C23" s="391"/>
      <c r="D23" s="391"/>
      <c r="E23" s="391"/>
      <c r="F23" s="392"/>
      <c r="G23" s="300" t="str">
        <f t="shared" si="1"/>
        <v/>
      </c>
      <c r="H23" s="301"/>
      <c r="I23" s="301"/>
      <c r="J23" s="302"/>
      <c r="K23" s="303" t="str">
        <f t="shared" si="2"/>
        <v/>
      </c>
      <c r="L23" s="304"/>
      <c r="M23" s="38" t="str">
        <f t="shared" si="3"/>
        <v/>
      </c>
      <c r="N23" s="399" t="str">
        <f>IF(ISNA(VLOOKUP($B23,単語,6,FALSE)),"",IF(ISBLANK(VLOOKUP($B23,単語,6,FALSE)),"",(VLOOKUP($B23,単語,6,FALSE))))</f>
        <v/>
      </c>
      <c r="O23" s="400"/>
      <c r="P23" s="400"/>
      <c r="Q23" s="401" t="s">
        <v>7044</v>
      </c>
      <c r="R23" s="402"/>
      <c r="S23" s="402"/>
      <c r="T23" s="402"/>
      <c r="U23" s="403"/>
      <c r="V23" s="268"/>
      <c r="W23" s="404"/>
      <c r="X23" s="404"/>
      <c r="Y23" s="404"/>
      <c r="Z23" s="404"/>
      <c r="AA23" s="404"/>
      <c r="AB23" s="404"/>
    </row>
    <row r="24" spans="1:28" s="405" customFormat="1" ht="13.5" customHeight="1">
      <c r="A24" s="389">
        <f t="shared" ref="A24:A25" si="5">ROW()-4</f>
        <v>20</v>
      </c>
      <c r="B24" s="390" t="s">
        <v>7048</v>
      </c>
      <c r="C24" s="391"/>
      <c r="D24" s="391"/>
      <c r="E24" s="391"/>
      <c r="F24" s="392"/>
      <c r="G24" s="300" t="str">
        <f t="shared" si="1"/>
        <v/>
      </c>
      <c r="H24" s="301"/>
      <c r="I24" s="301"/>
      <c r="J24" s="302"/>
      <c r="K24" s="303" t="str">
        <f t="shared" si="2"/>
        <v/>
      </c>
      <c r="L24" s="304"/>
      <c r="M24" s="38" t="str">
        <f t="shared" si="3"/>
        <v/>
      </c>
      <c r="N24" s="399" t="str">
        <f>IF(ISNA(VLOOKUP($B24,単語,6,FALSE)),"",IF(ISBLANK(VLOOKUP($B24,単語,6,FALSE)),"",(VLOOKUP($B24,単語,6,FALSE))))</f>
        <v/>
      </c>
      <c r="O24" s="400"/>
      <c r="P24" s="400"/>
      <c r="Q24" s="401" t="s">
        <v>7044</v>
      </c>
      <c r="R24" s="402"/>
      <c r="S24" s="402"/>
      <c r="T24" s="402"/>
      <c r="U24" s="403"/>
      <c r="V24" s="268"/>
      <c r="W24" s="404"/>
      <c r="X24" s="404"/>
      <c r="Y24" s="404"/>
      <c r="Z24" s="404"/>
      <c r="AA24" s="404"/>
      <c r="AB24" s="404"/>
    </row>
    <row r="25" spans="1:28" s="405" customFormat="1" ht="13.5" customHeight="1">
      <c r="A25" s="389">
        <f t="shared" si="5"/>
        <v>21</v>
      </c>
      <c r="B25" s="390" t="s">
        <v>7049</v>
      </c>
      <c r="C25" s="391"/>
      <c r="D25" s="391"/>
      <c r="E25" s="391"/>
      <c r="F25" s="392"/>
      <c r="G25" s="300" t="str">
        <f t="shared" si="1"/>
        <v/>
      </c>
      <c r="H25" s="301"/>
      <c r="I25" s="301"/>
      <c r="J25" s="302"/>
      <c r="K25" s="303" t="str">
        <f t="shared" si="2"/>
        <v/>
      </c>
      <c r="L25" s="304"/>
      <c r="M25" s="38" t="str">
        <f t="shared" si="3"/>
        <v/>
      </c>
      <c r="N25" s="399" t="str">
        <f>IF(ISNA(VLOOKUP($B25,単語,6,FALSE)),"",IF(ISBLANK(VLOOKUP($B25,単語,6,FALSE)),"",(VLOOKUP($B25,単語,6,FALSE))))</f>
        <v/>
      </c>
      <c r="O25" s="400"/>
      <c r="P25" s="400"/>
      <c r="Q25" s="401" t="s">
        <v>7044</v>
      </c>
      <c r="R25" s="402"/>
      <c r="S25" s="402"/>
      <c r="T25" s="402"/>
      <c r="U25" s="403"/>
      <c r="V25" s="268"/>
      <c r="W25" s="404"/>
      <c r="X25" s="404"/>
      <c r="Y25" s="404"/>
      <c r="Z25" s="404"/>
      <c r="AA25" s="404"/>
      <c r="AB25" s="404"/>
    </row>
    <row r="26" spans="1:28" s="423" customFormat="1">
      <c r="A26" s="406">
        <f>ROW()-4</f>
        <v>22</v>
      </c>
      <c r="B26" s="407" t="s">
        <v>6911</v>
      </c>
      <c r="C26" s="408"/>
      <c r="D26" s="408"/>
      <c r="E26" s="408"/>
      <c r="F26" s="409"/>
      <c r="G26" s="410" t="str">
        <f>IF(ISNA(VLOOKUP($B26,単語,2,FALSE)),"",(VLOOKUP($B26,単語,2,FALSE)))</f>
        <v>GYOSHU_CD</v>
      </c>
      <c r="H26" s="411"/>
      <c r="I26" s="411"/>
      <c r="J26" s="412"/>
      <c r="K26" s="413" t="str">
        <f>IF(ISNA(VLOOKUP($B26,単語,4,FALSE)),"",(VLOOKUP($B26,単語,4,FALSE)))</f>
        <v>Char</v>
      </c>
      <c r="L26" s="414"/>
      <c r="M26" s="415">
        <f>IF(ISNA(VLOOKUP($B26,単語,5,FALSE)),"",IF(ISBLANK(VLOOKUP($B26,単語,5,FALSE)),"",(VLOOKUP($B26,単語,5,FALSE))))</f>
        <v>2</v>
      </c>
      <c r="N26" s="416" t="str">
        <f>IF(ISNA(VLOOKUP($B26,単語,6,FALSE)),"",IF(ISBLANK(VLOOKUP($B26,単語,6,FALSE)),"",(VLOOKUP($B26,単語,6,FALSE))))</f>
        <v/>
      </c>
      <c r="O26" s="417"/>
      <c r="P26" s="417"/>
      <c r="Q26" s="418" t="s">
        <v>7045</v>
      </c>
      <c r="R26" s="419"/>
      <c r="S26" s="419"/>
      <c r="T26" s="419"/>
      <c r="U26" s="420"/>
      <c r="V26" s="421"/>
      <c r="W26" s="422"/>
      <c r="X26" s="422"/>
      <c r="Y26" s="422"/>
      <c r="Z26" s="422"/>
      <c r="AA26" s="422"/>
      <c r="AB26" s="422"/>
    </row>
    <row r="27" spans="1:28" s="405" customFormat="1" ht="13.5" customHeight="1">
      <c r="A27" s="389">
        <f>ROW()-4</f>
        <v>23</v>
      </c>
      <c r="B27" s="390" t="s">
        <v>128</v>
      </c>
      <c r="C27" s="391"/>
      <c r="D27" s="391"/>
      <c r="E27" s="391"/>
      <c r="F27" s="392"/>
      <c r="G27" s="393" t="str">
        <f>IF(ISNA(VLOOKUP($B27,単語,2,FALSE)),"",(VLOOKUP($B27,単語,2,FALSE)))</f>
        <v>JUGYOINSU</v>
      </c>
      <c r="H27" s="394"/>
      <c r="I27" s="394"/>
      <c r="J27" s="395"/>
      <c r="K27" s="396" t="s">
        <v>6489</v>
      </c>
      <c r="L27" s="397"/>
      <c r="M27" s="398">
        <v>5</v>
      </c>
      <c r="N27" s="399" t="str">
        <f>IF(ISNA(VLOOKUP($B27,単語,6,FALSE)),"",IF(ISBLANK(VLOOKUP($B27,単語,6,FALSE)),"",(VLOOKUP($B27,単語,6,FALSE))))</f>
        <v/>
      </c>
      <c r="O27" s="400"/>
      <c r="P27" s="400"/>
      <c r="Q27" s="401" t="s">
        <v>7044</v>
      </c>
      <c r="R27" s="402"/>
      <c r="S27" s="402"/>
      <c r="T27" s="402"/>
      <c r="U27" s="403"/>
      <c r="V27" s="268"/>
      <c r="W27" s="404"/>
      <c r="X27" s="404"/>
      <c r="Y27" s="404"/>
      <c r="Z27" s="404"/>
      <c r="AA27" s="404"/>
      <c r="AB27" s="404"/>
    </row>
    <row r="28" spans="1:28" s="2" customFormat="1" ht="13.5" customHeight="1">
      <c r="A28" s="14">
        <f t="shared" si="0"/>
        <v>24</v>
      </c>
      <c r="B28" s="289" t="s">
        <v>6916</v>
      </c>
      <c r="C28" s="290"/>
      <c r="D28" s="290"/>
      <c r="E28" s="290"/>
      <c r="F28" s="291"/>
      <c r="G28" s="292" t="str">
        <f t="shared" si="1"/>
        <v>SYSTEM_CREATE_DATE</v>
      </c>
      <c r="H28" s="293"/>
      <c r="I28" s="293"/>
      <c r="J28" s="294"/>
      <c r="K28" s="295" t="str">
        <f t="shared" si="2"/>
        <v>Date</v>
      </c>
      <c r="L28" s="296"/>
      <c r="M28" s="34" t="str">
        <f t="shared" si="3"/>
        <v>　</v>
      </c>
      <c r="N28" s="35" t="str">
        <f t="shared" si="4"/>
        <v/>
      </c>
      <c r="O28" s="36" t="s">
        <v>66</v>
      </c>
      <c r="P28" s="36"/>
      <c r="Q28" s="285"/>
      <c r="R28" s="286"/>
      <c r="S28" s="286"/>
      <c r="T28" s="286"/>
      <c r="U28" s="287"/>
      <c r="V28" s="37" t="s">
        <v>6696</v>
      </c>
      <c r="W28" s="288"/>
      <c r="X28" s="288"/>
      <c r="Y28" s="288"/>
      <c r="Z28" s="288"/>
      <c r="AA28" s="288"/>
      <c r="AB28" s="288"/>
    </row>
    <row r="29" spans="1:28" s="2" customFormat="1">
      <c r="A29" s="15">
        <f t="shared" si="0"/>
        <v>25</v>
      </c>
      <c r="B29" s="297" t="s">
        <v>6917</v>
      </c>
      <c r="C29" s="298"/>
      <c r="D29" s="298"/>
      <c r="E29" s="298"/>
      <c r="F29" s="299"/>
      <c r="G29" s="300" t="str">
        <f t="shared" si="1"/>
        <v>SYSTEM_UPDATE_DATE</v>
      </c>
      <c r="H29" s="301"/>
      <c r="I29" s="301"/>
      <c r="J29" s="302"/>
      <c r="K29" s="303" t="str">
        <f t="shared" si="2"/>
        <v>Date</v>
      </c>
      <c r="L29" s="304"/>
      <c r="M29" s="38" t="str">
        <f t="shared" si="3"/>
        <v>　</v>
      </c>
      <c r="N29" s="39" t="str">
        <f t="shared" si="4"/>
        <v/>
      </c>
      <c r="O29" s="40" t="s">
        <v>66</v>
      </c>
      <c r="P29" s="40"/>
      <c r="Q29" s="305"/>
      <c r="R29" s="306"/>
      <c r="S29" s="306"/>
      <c r="T29" s="306"/>
      <c r="U29" s="307"/>
      <c r="V29" s="41" t="s">
        <v>6988</v>
      </c>
      <c r="W29" s="310"/>
      <c r="X29" s="310"/>
      <c r="Y29" s="310"/>
      <c r="Z29" s="310"/>
      <c r="AA29" s="310"/>
      <c r="AB29" s="310"/>
    </row>
  </sheetData>
  <mergeCells count="143">
    <mergeCell ref="W24:AB24"/>
    <mergeCell ref="B25:F25"/>
    <mergeCell ref="G25:J25"/>
    <mergeCell ref="K25:L25"/>
    <mergeCell ref="Q25:U25"/>
    <mergeCell ref="W25:AB25"/>
    <mergeCell ref="B27:F27"/>
    <mergeCell ref="G27:J27"/>
    <mergeCell ref="K27:L27"/>
    <mergeCell ref="Q27:U27"/>
    <mergeCell ref="W27:AB27"/>
    <mergeCell ref="B22:F22"/>
    <mergeCell ref="G22:J22"/>
    <mergeCell ref="K22:L22"/>
    <mergeCell ref="Q22:U22"/>
    <mergeCell ref="W22:AB22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B29:F29"/>
    <mergeCell ref="G29:J29"/>
    <mergeCell ref="K29:L29"/>
    <mergeCell ref="Q29:U29"/>
    <mergeCell ref="W29:AB29"/>
    <mergeCell ref="B28:F28"/>
    <mergeCell ref="G28:J28"/>
    <mergeCell ref="K28:L28"/>
    <mergeCell ref="Q28:U28"/>
    <mergeCell ref="W28:AB28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 G10:J15 G7:J8">
    <cfRule type="expression" dxfId="141" priority="16" stopIfTrue="1">
      <formula>LEN(G7)&gt;30</formula>
    </cfRule>
  </conditionalFormatting>
  <conditionalFormatting sqref="G18:J19 G21:J21">
    <cfRule type="expression" dxfId="140" priority="15" stopIfTrue="1">
      <formula>LEN(G18)&gt;30</formula>
    </cfRule>
  </conditionalFormatting>
  <conditionalFormatting sqref="G5:J5 G16:J16">
    <cfRule type="expression" dxfId="139" priority="14" stopIfTrue="1">
      <formula>LEN(G5)&gt;30</formula>
    </cfRule>
  </conditionalFormatting>
  <conditionalFormatting sqref="G9:J9">
    <cfRule type="expression" dxfId="138" priority="13" stopIfTrue="1">
      <formula>LEN(G9)&gt;30</formula>
    </cfRule>
  </conditionalFormatting>
  <conditionalFormatting sqref="G6:J6">
    <cfRule type="expression" dxfId="137" priority="11" stopIfTrue="1">
      <formula>LEN(G6)&gt;30</formula>
    </cfRule>
  </conditionalFormatting>
  <conditionalFormatting sqref="G28:J29">
    <cfRule type="expression" dxfId="136" priority="8" stopIfTrue="1">
      <formula>LEN(G28)&gt;30</formula>
    </cfRule>
  </conditionalFormatting>
  <conditionalFormatting sqref="G20:J20">
    <cfRule type="expression" dxfId="135" priority="7" stopIfTrue="1">
      <formula>LEN(G20)&gt;30</formula>
    </cfRule>
  </conditionalFormatting>
  <conditionalFormatting sqref="G22:J25">
    <cfRule type="expression" dxfId="132" priority="1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0C2B94E4-8025-4ADA-A09F-2E2E07E49661}">
            <xm:f>LEN(法人基本情報!G20)&gt;30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G27:J27</xm:sqref>
        </x14:conditionalFormatting>
        <x14:conditionalFormatting xmlns:xm="http://schemas.microsoft.com/office/excel/2006/main">
          <x14:cfRule type="expression" priority="4" stopIfTrue="1" id="{4EA872CE-427B-4E19-B946-F62F12B93E6E}">
            <xm:f>LEN(法人基本情報!G22)&gt;30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G26:J26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9" sqref="G9:J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72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6854</v>
      </c>
      <c r="J2" s="325"/>
      <c r="K2" s="325"/>
      <c r="L2" s="325"/>
      <c r="M2" s="325"/>
      <c r="N2" s="325"/>
      <c r="O2" s="325"/>
      <c r="P2" s="326" t="str">
        <f>VLOOKUP(I2,単語,2,FALSE)</f>
        <v>T_CORP_KENAOSI_SHIKIN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27" t="s">
        <v>25</v>
      </c>
      <c r="X2" s="325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6943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1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1" t="s">
        <v>11</v>
      </c>
      <c r="N4" s="71" t="s">
        <v>12</v>
      </c>
      <c r="O4" s="71" t="s">
        <v>13</v>
      </c>
      <c r="P4" s="71" t="s">
        <v>14</v>
      </c>
      <c r="Q4" s="313" t="s">
        <v>15</v>
      </c>
      <c r="R4" s="313"/>
      <c r="S4" s="313"/>
      <c r="T4" s="313"/>
      <c r="U4" s="313"/>
      <c r="V4" s="71" t="s">
        <v>16</v>
      </c>
      <c r="W4" s="313" t="s">
        <v>17</v>
      </c>
      <c r="X4" s="313"/>
      <c r="Y4" s="313"/>
      <c r="Z4" s="313"/>
      <c r="AA4" s="313"/>
      <c r="AB4" s="313"/>
    </row>
    <row r="5" spans="1:28" s="388" customFormat="1" ht="14.25" thickTop="1">
      <c r="A5" s="436">
        <f t="shared" ref="A5:A14" si="0">ROW()-4</f>
        <v>1</v>
      </c>
      <c r="B5" s="437" t="s">
        <v>6465</v>
      </c>
      <c r="C5" s="438"/>
      <c r="D5" s="438"/>
      <c r="E5" s="438"/>
      <c r="F5" s="439"/>
      <c r="G5" s="373" t="str">
        <f t="shared" ref="G5:G14" si="1">IF(ISNA(VLOOKUP($B5,単語,2,FALSE)),"",(VLOOKUP($B5,単語,2,FALSE)))</f>
        <v>PLAN_ID</v>
      </c>
      <c r="H5" s="374"/>
      <c r="I5" s="374"/>
      <c r="J5" s="375"/>
      <c r="K5" s="440" t="str">
        <f t="shared" ref="K5:K14" si="2">IF(ISNA(VLOOKUP($B5,単語,4,FALSE)),"",(VLOOKUP($B5,単語,4,FALSE)))</f>
        <v>Varchar2</v>
      </c>
      <c r="L5" s="441"/>
      <c r="M5" s="378">
        <f t="shared" ref="M5:M14" si="3">IF(ISNA(VLOOKUP($B5,単語,5,FALSE)),"",IF(ISBLANK(VLOOKUP($B5,単語,5,FALSE)),"",(VLOOKUP($B5,単語,5,FALSE))))</f>
        <v>36</v>
      </c>
      <c r="N5" s="379" t="str">
        <f t="shared" ref="N5:N14" si="4">IF(ISNA(VLOOKUP($B5,単語,6,FALSE)),"",IF(ISBLANK(VLOOKUP($B5,単語,6,FALSE)),"",(VLOOKUP($B5,単語,6,FALSE))))</f>
        <v/>
      </c>
      <c r="O5" s="380" t="s">
        <v>71</v>
      </c>
      <c r="P5" s="380" t="s">
        <v>66</v>
      </c>
      <c r="Q5" s="449"/>
      <c r="R5" s="450"/>
      <c r="S5" s="450"/>
      <c r="T5" s="450"/>
      <c r="U5" s="451"/>
      <c r="V5" s="384"/>
      <c r="W5" s="445"/>
      <c r="X5" s="446"/>
      <c r="Y5" s="446"/>
      <c r="Z5" s="446"/>
      <c r="AA5" s="446"/>
      <c r="AB5" s="446"/>
    </row>
    <row r="6" spans="1:28" s="386" customFormat="1">
      <c r="A6" s="369">
        <f t="shared" si="0"/>
        <v>2</v>
      </c>
      <c r="B6" s="370" t="s">
        <v>2662</v>
      </c>
      <c r="C6" s="371"/>
      <c r="D6" s="371"/>
      <c r="E6" s="371"/>
      <c r="F6" s="372"/>
      <c r="G6" s="373" t="str">
        <f t="shared" si="1"/>
        <v>NENGO</v>
      </c>
      <c r="H6" s="374"/>
      <c r="I6" s="374"/>
      <c r="J6" s="375"/>
      <c r="K6" s="376" t="str">
        <f t="shared" si="2"/>
        <v>Number</v>
      </c>
      <c r="L6" s="377"/>
      <c r="M6" s="378">
        <f t="shared" si="3"/>
        <v>2</v>
      </c>
      <c r="N6" s="379" t="str">
        <f t="shared" si="4"/>
        <v/>
      </c>
      <c r="O6" s="380" t="s">
        <v>6412</v>
      </c>
      <c r="P6" s="380" t="s">
        <v>6412</v>
      </c>
      <c r="Q6" s="433" t="s">
        <v>7050</v>
      </c>
      <c r="R6" s="434"/>
      <c r="S6" s="434"/>
      <c r="T6" s="434"/>
      <c r="U6" s="435"/>
      <c r="V6" s="384"/>
      <c r="W6" s="385"/>
      <c r="X6" s="385"/>
      <c r="Y6" s="385"/>
      <c r="Z6" s="385"/>
      <c r="AA6" s="385"/>
      <c r="AB6" s="385"/>
    </row>
    <row r="7" spans="1:28" s="386" customFormat="1">
      <c r="A7" s="369">
        <f t="shared" si="0"/>
        <v>3</v>
      </c>
      <c r="B7" s="370" t="s">
        <v>6428</v>
      </c>
      <c r="C7" s="371"/>
      <c r="D7" s="371"/>
      <c r="E7" s="371"/>
      <c r="F7" s="372"/>
      <c r="G7" s="373" t="str">
        <f t="shared" si="1"/>
        <v>URIAGEDAKA_YOSOU</v>
      </c>
      <c r="H7" s="374"/>
      <c r="I7" s="374"/>
      <c r="J7" s="375"/>
      <c r="K7" s="376" t="str">
        <f t="shared" si="2"/>
        <v>Number</v>
      </c>
      <c r="L7" s="377"/>
      <c r="M7" s="378">
        <f t="shared" si="3"/>
        <v>5</v>
      </c>
      <c r="N7" s="379">
        <f t="shared" si="4"/>
        <v>2</v>
      </c>
      <c r="O7" s="380"/>
      <c r="P7" s="380"/>
      <c r="Q7" s="433" t="s">
        <v>7051</v>
      </c>
      <c r="R7" s="434"/>
      <c r="S7" s="434"/>
      <c r="T7" s="434"/>
      <c r="U7" s="435"/>
      <c r="V7" s="384"/>
      <c r="W7" s="385"/>
      <c r="X7" s="385"/>
      <c r="Y7" s="385"/>
      <c r="Z7" s="385"/>
      <c r="AA7" s="385"/>
      <c r="AB7" s="385"/>
    </row>
    <row r="8" spans="1:28" s="388" customFormat="1">
      <c r="A8" s="387">
        <f t="shared" si="0"/>
        <v>4</v>
      </c>
      <c r="B8" s="370" t="s">
        <v>6427</v>
      </c>
      <c r="C8" s="371"/>
      <c r="D8" s="371"/>
      <c r="E8" s="371"/>
      <c r="F8" s="372"/>
      <c r="G8" s="373" t="str">
        <f t="shared" si="1"/>
        <v>URIAGEDAKA</v>
      </c>
      <c r="H8" s="374"/>
      <c r="I8" s="374"/>
      <c r="J8" s="375"/>
      <c r="K8" s="376" t="str">
        <f t="shared" si="2"/>
        <v>Number</v>
      </c>
      <c r="L8" s="377"/>
      <c r="M8" s="378">
        <f t="shared" si="3"/>
        <v>11</v>
      </c>
      <c r="N8" s="379" t="str">
        <f t="shared" si="4"/>
        <v/>
      </c>
      <c r="O8" s="380"/>
      <c r="P8" s="380"/>
      <c r="Q8" s="433" t="s">
        <v>7052</v>
      </c>
      <c r="R8" s="434"/>
      <c r="S8" s="434"/>
      <c r="T8" s="434"/>
      <c r="U8" s="435"/>
      <c r="V8" s="384"/>
      <c r="W8" s="385"/>
      <c r="X8" s="385"/>
      <c r="Y8" s="385"/>
      <c r="Z8" s="385"/>
      <c r="AA8" s="385"/>
      <c r="AB8" s="385"/>
    </row>
    <row r="9" spans="1:28" s="386" customFormat="1">
      <c r="A9" s="369">
        <f t="shared" si="0"/>
        <v>5</v>
      </c>
      <c r="B9" s="370" t="s">
        <v>6429</v>
      </c>
      <c r="C9" s="371"/>
      <c r="D9" s="371"/>
      <c r="E9" s="371"/>
      <c r="F9" s="372"/>
      <c r="G9" s="373" t="str">
        <f t="shared" si="1"/>
        <v>HENDOHI</v>
      </c>
      <c r="H9" s="374"/>
      <c r="I9" s="374"/>
      <c r="J9" s="375"/>
      <c r="K9" s="376" t="str">
        <f t="shared" si="2"/>
        <v>Number</v>
      </c>
      <c r="L9" s="377"/>
      <c r="M9" s="378">
        <f t="shared" si="3"/>
        <v>11</v>
      </c>
      <c r="N9" s="379" t="str">
        <f t="shared" si="4"/>
        <v/>
      </c>
      <c r="O9" s="380"/>
      <c r="P9" s="380"/>
      <c r="Q9" s="433" t="s">
        <v>7052</v>
      </c>
      <c r="R9" s="434"/>
      <c r="S9" s="434"/>
      <c r="T9" s="434"/>
      <c r="U9" s="435"/>
      <c r="V9" s="384"/>
      <c r="W9" s="385"/>
      <c r="X9" s="385"/>
      <c r="Y9" s="385"/>
      <c r="Z9" s="385"/>
      <c r="AA9" s="385"/>
      <c r="AB9" s="385"/>
    </row>
    <row r="10" spans="1:28" s="388" customFormat="1">
      <c r="A10" s="387">
        <f t="shared" si="0"/>
        <v>6</v>
      </c>
      <c r="B10" s="370" t="s">
        <v>6430</v>
      </c>
      <c r="C10" s="371"/>
      <c r="D10" s="371"/>
      <c r="E10" s="371"/>
      <c r="F10" s="372"/>
      <c r="G10" s="373" t="str">
        <f t="shared" si="1"/>
        <v>KOTEHI</v>
      </c>
      <c r="H10" s="374"/>
      <c r="I10" s="374"/>
      <c r="J10" s="375"/>
      <c r="K10" s="376" t="str">
        <f t="shared" si="2"/>
        <v>Number</v>
      </c>
      <c r="L10" s="377"/>
      <c r="M10" s="378">
        <f t="shared" si="3"/>
        <v>11</v>
      </c>
      <c r="N10" s="379" t="str">
        <f t="shared" si="4"/>
        <v/>
      </c>
      <c r="O10" s="380"/>
      <c r="P10" s="380"/>
      <c r="Q10" s="433" t="s">
        <v>7052</v>
      </c>
      <c r="R10" s="434"/>
      <c r="S10" s="434"/>
      <c r="T10" s="434"/>
      <c r="U10" s="435"/>
      <c r="V10" s="384"/>
      <c r="W10" s="385"/>
      <c r="X10" s="385"/>
      <c r="Y10" s="385"/>
      <c r="Z10" s="385"/>
      <c r="AA10" s="385"/>
      <c r="AB10" s="385"/>
    </row>
    <row r="11" spans="1:28" s="388" customFormat="1">
      <c r="A11" s="387">
        <f t="shared" si="0"/>
        <v>7</v>
      </c>
      <c r="B11" s="370" t="s">
        <v>6423</v>
      </c>
      <c r="C11" s="371"/>
      <c r="D11" s="371"/>
      <c r="E11" s="371"/>
      <c r="F11" s="372"/>
      <c r="G11" s="373" t="str">
        <f t="shared" si="1"/>
        <v>GENKA_SYOKYAKUHI</v>
      </c>
      <c r="H11" s="374"/>
      <c r="I11" s="374"/>
      <c r="J11" s="375"/>
      <c r="K11" s="376" t="str">
        <f t="shared" si="2"/>
        <v>Number</v>
      </c>
      <c r="L11" s="377"/>
      <c r="M11" s="378">
        <f t="shared" si="3"/>
        <v>11</v>
      </c>
      <c r="N11" s="379" t="str">
        <f t="shared" si="4"/>
        <v/>
      </c>
      <c r="O11" s="380"/>
      <c r="P11" s="380"/>
      <c r="Q11" s="433" t="s">
        <v>7052</v>
      </c>
      <c r="R11" s="434"/>
      <c r="S11" s="434"/>
      <c r="T11" s="434"/>
      <c r="U11" s="435"/>
      <c r="V11" s="384"/>
      <c r="W11" s="385"/>
      <c r="X11" s="385"/>
      <c r="Y11" s="385"/>
      <c r="Z11" s="385"/>
      <c r="AA11" s="385"/>
      <c r="AB11" s="385"/>
    </row>
    <row r="12" spans="1:28" s="386" customFormat="1">
      <c r="A12" s="369">
        <f t="shared" si="0"/>
        <v>8</v>
      </c>
      <c r="B12" s="370" t="s">
        <v>6419</v>
      </c>
      <c r="C12" s="371"/>
      <c r="D12" s="371"/>
      <c r="E12" s="371"/>
      <c r="F12" s="372"/>
      <c r="G12" s="373" t="str">
        <f t="shared" si="1"/>
        <v>KEJO_RIEKI</v>
      </c>
      <c r="H12" s="374"/>
      <c r="I12" s="374"/>
      <c r="J12" s="375"/>
      <c r="K12" s="376" t="str">
        <f t="shared" si="2"/>
        <v>Number</v>
      </c>
      <c r="L12" s="377"/>
      <c r="M12" s="378">
        <f t="shared" si="3"/>
        <v>11</v>
      </c>
      <c r="N12" s="379" t="str">
        <f t="shared" si="4"/>
        <v/>
      </c>
      <c r="O12" s="380"/>
      <c r="P12" s="380"/>
      <c r="Q12" s="433" t="s">
        <v>7052</v>
      </c>
      <c r="R12" s="434"/>
      <c r="S12" s="434"/>
      <c r="T12" s="434"/>
      <c r="U12" s="435"/>
      <c r="V12" s="384"/>
      <c r="W12" s="385"/>
      <c r="X12" s="385"/>
      <c r="Y12" s="385"/>
      <c r="Z12" s="385"/>
      <c r="AA12" s="385"/>
      <c r="AB12" s="385"/>
    </row>
    <row r="13" spans="1:28" s="388" customFormat="1" ht="13.5" customHeight="1">
      <c r="A13" s="387">
        <f t="shared" si="0"/>
        <v>9</v>
      </c>
      <c r="B13" s="370" t="s">
        <v>6916</v>
      </c>
      <c r="C13" s="371"/>
      <c r="D13" s="371"/>
      <c r="E13" s="371"/>
      <c r="F13" s="372"/>
      <c r="G13" s="373" t="str">
        <f t="shared" si="1"/>
        <v>SYSTEM_CREATE_DATE</v>
      </c>
      <c r="H13" s="374"/>
      <c r="I13" s="374"/>
      <c r="J13" s="375"/>
      <c r="K13" s="376" t="str">
        <f t="shared" si="2"/>
        <v>Date</v>
      </c>
      <c r="L13" s="377"/>
      <c r="M13" s="378" t="str">
        <f t="shared" si="3"/>
        <v>　</v>
      </c>
      <c r="N13" s="379" t="str">
        <f t="shared" si="4"/>
        <v/>
      </c>
      <c r="O13" s="380" t="s">
        <v>66</v>
      </c>
      <c r="P13" s="380"/>
      <c r="Q13" s="433"/>
      <c r="R13" s="434"/>
      <c r="S13" s="434"/>
      <c r="T13" s="434"/>
      <c r="U13" s="435"/>
      <c r="V13" s="384" t="s">
        <v>6696</v>
      </c>
      <c r="W13" s="385"/>
      <c r="X13" s="385"/>
      <c r="Y13" s="385"/>
      <c r="Z13" s="385"/>
      <c r="AA13" s="385"/>
      <c r="AB13" s="385"/>
    </row>
    <row r="14" spans="1:28" s="388" customFormat="1">
      <c r="A14" s="387">
        <f t="shared" si="0"/>
        <v>10</v>
      </c>
      <c r="B14" s="370" t="s">
        <v>6917</v>
      </c>
      <c r="C14" s="371"/>
      <c r="D14" s="371"/>
      <c r="E14" s="371"/>
      <c r="F14" s="372"/>
      <c r="G14" s="373" t="str">
        <f t="shared" si="1"/>
        <v>SYSTEM_UPDATE_DATE</v>
      </c>
      <c r="H14" s="374"/>
      <c r="I14" s="374"/>
      <c r="J14" s="375"/>
      <c r="K14" s="376" t="str">
        <f t="shared" si="2"/>
        <v>Date</v>
      </c>
      <c r="L14" s="377"/>
      <c r="M14" s="378" t="str">
        <f t="shared" si="3"/>
        <v>　</v>
      </c>
      <c r="N14" s="379" t="str">
        <f t="shared" si="4"/>
        <v/>
      </c>
      <c r="O14" s="380" t="s">
        <v>66</v>
      </c>
      <c r="P14" s="380"/>
      <c r="Q14" s="433"/>
      <c r="R14" s="434"/>
      <c r="S14" s="434"/>
      <c r="T14" s="434"/>
      <c r="U14" s="435"/>
      <c r="V14" s="384" t="s">
        <v>6988</v>
      </c>
      <c r="W14" s="385"/>
      <c r="X14" s="385"/>
      <c r="Y14" s="385"/>
      <c r="Z14" s="385"/>
      <c r="AA14" s="385"/>
      <c r="AB14" s="385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31" priority="6" stopIfTrue="1">
      <formula>LEN(G5)&gt;30</formula>
    </cfRule>
  </conditionalFormatting>
  <conditionalFormatting sqref="G7:J7">
    <cfRule type="expression" dxfId="130" priority="5" stopIfTrue="1">
      <formula>LEN(G7)&gt;30</formula>
    </cfRule>
  </conditionalFormatting>
  <conditionalFormatting sqref="G8:J12">
    <cfRule type="expression" dxfId="129" priority="4" stopIfTrue="1">
      <formula>LEN(G8)&gt;30</formula>
    </cfRule>
  </conditionalFormatting>
  <conditionalFormatting sqref="G6:J6">
    <cfRule type="expression" dxfId="128" priority="3" stopIfTrue="1">
      <formula>LEN(G6)&gt;30</formula>
    </cfRule>
  </conditionalFormatting>
  <conditionalFormatting sqref="G13:J14">
    <cfRule type="expression" dxfId="127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14" sqref="G14:J14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72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6432</v>
      </c>
      <c r="J2" s="325"/>
      <c r="K2" s="325"/>
      <c r="L2" s="325"/>
      <c r="M2" s="325"/>
      <c r="N2" s="325"/>
      <c r="O2" s="325"/>
      <c r="P2" s="326" t="str">
        <f>VLOOKUP(I2,単語,2,FALSE)</f>
        <v>T_CORP_YAKUIN_TIROKIN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27" t="s">
        <v>25</v>
      </c>
      <c r="X2" s="325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6945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1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1" t="s">
        <v>11</v>
      </c>
      <c r="N4" s="71" t="s">
        <v>12</v>
      </c>
      <c r="O4" s="71" t="s">
        <v>13</v>
      </c>
      <c r="P4" s="71" t="s">
        <v>14</v>
      </c>
      <c r="Q4" s="313" t="s">
        <v>15</v>
      </c>
      <c r="R4" s="313"/>
      <c r="S4" s="313"/>
      <c r="T4" s="313"/>
      <c r="U4" s="313"/>
      <c r="V4" s="71" t="s">
        <v>16</v>
      </c>
      <c r="W4" s="313" t="s">
        <v>17</v>
      </c>
      <c r="X4" s="313"/>
      <c r="Y4" s="313"/>
      <c r="Z4" s="313"/>
      <c r="AA4" s="313"/>
      <c r="AB4" s="313"/>
    </row>
    <row r="5" spans="1:28" s="388" customFormat="1" ht="14.25" thickTop="1">
      <c r="A5" s="436">
        <f t="shared" ref="A5:A22" si="0">ROW()-4</f>
        <v>1</v>
      </c>
      <c r="B5" s="437" t="s">
        <v>6465</v>
      </c>
      <c r="C5" s="438"/>
      <c r="D5" s="438"/>
      <c r="E5" s="438"/>
      <c r="F5" s="439"/>
      <c r="G5" s="373" t="str">
        <f t="shared" ref="G5:G22" si="1">IF(ISNA(VLOOKUP($B5,単語,2,FALSE)),"",(VLOOKUP($B5,単語,2,FALSE)))</f>
        <v>PLAN_ID</v>
      </c>
      <c r="H5" s="374"/>
      <c r="I5" s="374"/>
      <c r="J5" s="375"/>
      <c r="K5" s="440" t="str">
        <f t="shared" ref="K5:K10" si="2">IF(ISNA(VLOOKUP($B5,単語,4,FALSE)),"",(VLOOKUP($B5,単語,4,FALSE)))</f>
        <v>Varchar2</v>
      </c>
      <c r="L5" s="441"/>
      <c r="M5" s="378">
        <f t="shared" ref="M5:M10" si="3">IF(ISNA(VLOOKUP($B5,単語,5,FALSE)),"",IF(ISBLANK(VLOOKUP($B5,単語,5,FALSE)),"",(VLOOKUP($B5,単語,5,FALSE))))</f>
        <v>36</v>
      </c>
      <c r="N5" s="379" t="str">
        <f t="shared" ref="N5:N22" si="4">IF(ISNA(VLOOKUP($B5,単語,6,FALSE)),"",IF(ISBLANK(VLOOKUP($B5,単語,6,FALSE)),"",(VLOOKUP($B5,単語,6,FALSE))))</f>
        <v/>
      </c>
      <c r="O5" s="380" t="s">
        <v>71</v>
      </c>
      <c r="P5" s="380" t="s">
        <v>66</v>
      </c>
      <c r="Q5" s="442"/>
      <c r="R5" s="443"/>
      <c r="S5" s="443"/>
      <c r="T5" s="443"/>
      <c r="U5" s="444"/>
      <c r="V5" s="384"/>
      <c r="W5" s="445"/>
      <c r="X5" s="446"/>
      <c r="Y5" s="446"/>
      <c r="Z5" s="446"/>
      <c r="AA5" s="446"/>
      <c r="AB5" s="446"/>
    </row>
    <row r="6" spans="1:28" s="386" customFormat="1">
      <c r="A6" s="369">
        <f t="shared" si="0"/>
        <v>2</v>
      </c>
      <c r="B6" s="370" t="s">
        <v>6434</v>
      </c>
      <c r="C6" s="371"/>
      <c r="D6" s="371"/>
      <c r="E6" s="371"/>
      <c r="F6" s="372"/>
      <c r="G6" s="373" t="str">
        <f t="shared" si="1"/>
        <v>YAKUIN_ZNEN_YUTAI</v>
      </c>
      <c r="H6" s="374"/>
      <c r="I6" s="374"/>
      <c r="J6" s="375"/>
      <c r="K6" s="376" t="str">
        <f t="shared" si="2"/>
        <v>Number</v>
      </c>
      <c r="L6" s="377"/>
      <c r="M6" s="378">
        <f t="shared" si="3"/>
        <v>2</v>
      </c>
      <c r="N6" s="379" t="str">
        <f t="shared" si="4"/>
        <v/>
      </c>
      <c r="O6" s="380"/>
      <c r="P6" s="380"/>
      <c r="Q6" s="381" t="s">
        <v>7050</v>
      </c>
      <c r="R6" s="382"/>
      <c r="S6" s="382"/>
      <c r="T6" s="382"/>
      <c r="U6" s="383"/>
      <c r="V6" s="384"/>
      <c r="W6" s="385"/>
      <c r="X6" s="385"/>
      <c r="Y6" s="385"/>
      <c r="Z6" s="385"/>
      <c r="AA6" s="385"/>
      <c r="AB6" s="385"/>
    </row>
    <row r="7" spans="1:28" s="386" customFormat="1">
      <c r="A7" s="369">
        <f t="shared" si="0"/>
        <v>3</v>
      </c>
      <c r="B7" s="370" t="s">
        <v>73</v>
      </c>
      <c r="C7" s="371"/>
      <c r="D7" s="371"/>
      <c r="E7" s="371"/>
      <c r="F7" s="372"/>
      <c r="G7" s="373" t="str">
        <f t="shared" si="1"/>
        <v>YUTAI_TEKISE_GAKU</v>
      </c>
      <c r="H7" s="374"/>
      <c r="I7" s="374"/>
      <c r="J7" s="375"/>
      <c r="K7" s="376" t="str">
        <f t="shared" si="2"/>
        <v>Number</v>
      </c>
      <c r="L7" s="377"/>
      <c r="M7" s="378">
        <f t="shared" si="3"/>
        <v>11</v>
      </c>
      <c r="N7" s="379" t="str">
        <f t="shared" si="4"/>
        <v/>
      </c>
      <c r="O7" s="380"/>
      <c r="P7" s="380"/>
      <c r="Q7" s="381" t="s">
        <v>7052</v>
      </c>
      <c r="R7" s="382"/>
      <c r="S7" s="382"/>
      <c r="T7" s="382"/>
      <c r="U7" s="383"/>
      <c r="V7" s="384"/>
      <c r="W7" s="385"/>
      <c r="X7" s="385"/>
      <c r="Y7" s="385"/>
      <c r="Z7" s="385"/>
      <c r="AA7" s="385"/>
      <c r="AB7" s="385"/>
    </row>
    <row r="8" spans="1:28" s="386" customFormat="1">
      <c r="A8" s="387">
        <f t="shared" si="0"/>
        <v>4</v>
      </c>
      <c r="B8" s="370" t="s">
        <v>6698</v>
      </c>
      <c r="C8" s="371"/>
      <c r="D8" s="371"/>
      <c r="E8" s="371"/>
      <c r="F8" s="372"/>
      <c r="G8" s="373" t="str">
        <f t="shared" si="1"/>
        <v>KINZOKUNENSU</v>
      </c>
      <c r="H8" s="374"/>
      <c r="I8" s="374"/>
      <c r="J8" s="375"/>
      <c r="K8" s="376" t="str">
        <f t="shared" si="2"/>
        <v>Number</v>
      </c>
      <c r="L8" s="377"/>
      <c r="M8" s="378">
        <f t="shared" si="3"/>
        <v>2</v>
      </c>
      <c r="N8" s="379" t="str">
        <f t="shared" si="4"/>
        <v/>
      </c>
      <c r="O8" s="380"/>
      <c r="P8" s="380"/>
      <c r="Q8" s="381" t="s">
        <v>7052</v>
      </c>
      <c r="R8" s="382"/>
      <c r="S8" s="382"/>
      <c r="T8" s="382"/>
      <c r="U8" s="383"/>
      <c r="V8" s="384"/>
      <c r="W8" s="385"/>
      <c r="X8" s="385"/>
      <c r="Y8" s="385"/>
      <c r="Z8" s="385"/>
      <c r="AA8" s="385"/>
      <c r="AB8" s="385"/>
    </row>
    <row r="9" spans="1:28" s="388" customFormat="1">
      <c r="A9" s="369">
        <f t="shared" si="0"/>
        <v>5</v>
      </c>
      <c r="B9" s="370" t="s">
        <v>6699</v>
      </c>
      <c r="C9" s="371"/>
      <c r="D9" s="371"/>
      <c r="E9" s="371"/>
      <c r="F9" s="372"/>
      <c r="G9" s="373" t="str">
        <f t="shared" si="1"/>
        <v>TAISHOKU_SYOKOJO</v>
      </c>
      <c r="H9" s="374"/>
      <c r="I9" s="374"/>
      <c r="J9" s="375"/>
      <c r="K9" s="376" t="str">
        <f t="shared" si="2"/>
        <v>Number</v>
      </c>
      <c r="L9" s="377"/>
      <c r="M9" s="378">
        <f t="shared" si="3"/>
        <v>11</v>
      </c>
      <c r="N9" s="379" t="str">
        <f t="shared" si="4"/>
        <v/>
      </c>
      <c r="O9" s="380"/>
      <c r="P9" s="380"/>
      <c r="Q9" s="381" t="s">
        <v>7052</v>
      </c>
      <c r="R9" s="382"/>
      <c r="S9" s="382"/>
      <c r="T9" s="382"/>
      <c r="U9" s="383"/>
      <c r="V9" s="384"/>
      <c r="W9" s="385"/>
      <c r="X9" s="385"/>
      <c r="Y9" s="385"/>
      <c r="Z9" s="385"/>
      <c r="AA9" s="385"/>
      <c r="AB9" s="385"/>
    </row>
    <row r="10" spans="1:28" s="388" customFormat="1">
      <c r="A10" s="387">
        <f t="shared" si="0"/>
        <v>6</v>
      </c>
      <c r="B10" s="370" t="s">
        <v>7041</v>
      </c>
      <c r="C10" s="371"/>
      <c r="D10" s="371"/>
      <c r="E10" s="371"/>
      <c r="F10" s="372"/>
      <c r="G10" s="373" t="str">
        <f t="shared" si="1"/>
        <v>HALF_JISSHI_UMU_CD</v>
      </c>
      <c r="H10" s="374"/>
      <c r="I10" s="374"/>
      <c r="J10" s="375"/>
      <c r="K10" s="376" t="str">
        <f t="shared" si="2"/>
        <v>Char</v>
      </c>
      <c r="L10" s="377"/>
      <c r="M10" s="378">
        <f t="shared" si="3"/>
        <v>1</v>
      </c>
      <c r="N10" s="379" t="str">
        <f t="shared" si="4"/>
        <v/>
      </c>
      <c r="O10" s="380"/>
      <c r="P10" s="380"/>
      <c r="Q10" s="381" t="s">
        <v>7054</v>
      </c>
      <c r="R10" s="382"/>
      <c r="S10" s="382"/>
      <c r="T10" s="382"/>
      <c r="U10" s="383"/>
      <c r="V10" s="384"/>
      <c r="W10" s="385"/>
      <c r="X10" s="385"/>
      <c r="Y10" s="385"/>
      <c r="Z10" s="385"/>
      <c r="AA10" s="385"/>
      <c r="AB10" s="385"/>
    </row>
    <row r="11" spans="1:28" s="386" customFormat="1">
      <c r="A11" s="369">
        <f t="shared" si="0"/>
        <v>7</v>
      </c>
      <c r="B11" s="370" t="s">
        <v>6700</v>
      </c>
      <c r="C11" s="371"/>
      <c r="D11" s="371"/>
      <c r="E11" s="371"/>
      <c r="F11" s="372"/>
      <c r="G11" s="373" t="str">
        <f t="shared" si="1"/>
        <v>TIROKIN_KAZEI_SHOTOKU</v>
      </c>
      <c r="H11" s="374"/>
      <c r="I11" s="374"/>
      <c r="J11" s="375"/>
      <c r="K11" s="376" t="str">
        <f t="shared" ref="K11:K22" si="5">IF(ISNA(VLOOKUP($B11,単語,4,FALSE)),"",(VLOOKUP($B11,単語,4,FALSE)))</f>
        <v>Number</v>
      </c>
      <c r="L11" s="377"/>
      <c r="M11" s="378">
        <f t="shared" ref="M11:M22" si="6">IF(ISNA(VLOOKUP($B11,単語,5,FALSE)),"",IF(ISBLANK(VLOOKUP($B11,単語,5,FALSE)),"",(VLOOKUP($B11,単語,5,FALSE))))</f>
        <v>11</v>
      </c>
      <c r="N11" s="379" t="str">
        <f t="shared" si="4"/>
        <v/>
      </c>
      <c r="O11" s="380"/>
      <c r="P11" s="380"/>
      <c r="Q11" s="381" t="s">
        <v>7052</v>
      </c>
      <c r="R11" s="382"/>
      <c r="S11" s="382"/>
      <c r="T11" s="382"/>
      <c r="U11" s="383"/>
      <c r="V11" s="447"/>
      <c r="W11" s="385"/>
      <c r="X11" s="385"/>
      <c r="Y11" s="385"/>
      <c r="Z11" s="385"/>
      <c r="AA11" s="385"/>
      <c r="AB11" s="385"/>
    </row>
    <row r="12" spans="1:28" s="388" customFormat="1" ht="13.5" customHeight="1">
      <c r="A12" s="387">
        <f t="shared" si="0"/>
        <v>8</v>
      </c>
      <c r="B12" s="370" t="s">
        <v>6701</v>
      </c>
      <c r="C12" s="371"/>
      <c r="D12" s="371"/>
      <c r="E12" s="371"/>
      <c r="F12" s="372"/>
      <c r="G12" s="373" t="str">
        <f t="shared" si="1"/>
        <v>ZEI_RT</v>
      </c>
      <c r="H12" s="374"/>
      <c r="I12" s="374"/>
      <c r="J12" s="375"/>
      <c r="K12" s="376" t="str">
        <f t="shared" si="5"/>
        <v>Number</v>
      </c>
      <c r="L12" s="377"/>
      <c r="M12" s="378">
        <f t="shared" si="6"/>
        <v>5</v>
      </c>
      <c r="N12" s="379">
        <f t="shared" si="4"/>
        <v>2</v>
      </c>
      <c r="O12" s="380"/>
      <c r="P12" s="380"/>
      <c r="Q12" s="381" t="s">
        <v>7055</v>
      </c>
      <c r="R12" s="382"/>
      <c r="S12" s="382"/>
      <c r="T12" s="382"/>
      <c r="U12" s="383"/>
      <c r="V12" s="384"/>
      <c r="W12" s="385"/>
      <c r="X12" s="385"/>
      <c r="Y12" s="385"/>
      <c r="Z12" s="385"/>
      <c r="AA12" s="385"/>
      <c r="AB12" s="385"/>
    </row>
    <row r="13" spans="1:28" s="388" customFormat="1" ht="13.5" customHeight="1">
      <c r="A13" s="369">
        <f t="shared" si="0"/>
        <v>9</v>
      </c>
      <c r="B13" s="370" t="s">
        <v>6702</v>
      </c>
      <c r="C13" s="371"/>
      <c r="D13" s="371"/>
      <c r="E13" s="371"/>
      <c r="F13" s="372"/>
      <c r="G13" s="373" t="str">
        <f t="shared" si="1"/>
        <v>KOJO_GAKU</v>
      </c>
      <c r="H13" s="374"/>
      <c r="I13" s="374"/>
      <c r="J13" s="375"/>
      <c r="K13" s="376" t="str">
        <f t="shared" si="5"/>
        <v>Number</v>
      </c>
      <c r="L13" s="377"/>
      <c r="M13" s="378">
        <f t="shared" si="6"/>
        <v>11</v>
      </c>
      <c r="N13" s="379" t="str">
        <f t="shared" si="4"/>
        <v/>
      </c>
      <c r="O13" s="380"/>
      <c r="P13" s="380"/>
      <c r="Q13" s="381" t="s">
        <v>7052</v>
      </c>
      <c r="R13" s="382"/>
      <c r="S13" s="382"/>
      <c r="T13" s="382"/>
      <c r="U13" s="383"/>
      <c r="V13" s="384"/>
      <c r="W13" s="385"/>
      <c r="X13" s="385"/>
      <c r="Y13" s="385"/>
      <c r="Z13" s="385"/>
      <c r="AA13" s="385"/>
      <c r="AB13" s="385"/>
    </row>
    <row r="14" spans="1:28" s="388" customFormat="1" ht="13.5" customHeight="1">
      <c r="A14" s="369">
        <f t="shared" si="0"/>
        <v>10</v>
      </c>
      <c r="B14" s="370" t="s">
        <v>6703</v>
      </c>
      <c r="C14" s="371"/>
      <c r="D14" s="371"/>
      <c r="E14" s="371"/>
      <c r="F14" s="372"/>
      <c r="G14" s="373" t="str">
        <f t="shared" si="1"/>
        <v>TIROKIN_SYOJUZEI</v>
      </c>
      <c r="H14" s="374"/>
      <c r="I14" s="374"/>
      <c r="J14" s="375"/>
      <c r="K14" s="376" t="str">
        <f t="shared" si="5"/>
        <v>Number</v>
      </c>
      <c r="L14" s="377"/>
      <c r="M14" s="378">
        <f t="shared" si="6"/>
        <v>11</v>
      </c>
      <c r="N14" s="379" t="str">
        <f t="shared" si="4"/>
        <v/>
      </c>
      <c r="O14" s="380"/>
      <c r="P14" s="380"/>
      <c r="Q14" s="381" t="s">
        <v>7052</v>
      </c>
      <c r="R14" s="382"/>
      <c r="S14" s="382"/>
      <c r="T14" s="382"/>
      <c r="U14" s="383"/>
      <c r="V14" s="384"/>
      <c r="W14" s="385"/>
      <c r="X14" s="385"/>
      <c r="Y14" s="385"/>
      <c r="Z14" s="385"/>
      <c r="AA14" s="385"/>
      <c r="AB14" s="385"/>
    </row>
    <row r="15" spans="1:28" s="386" customFormat="1">
      <c r="A15" s="369">
        <f t="shared" si="0"/>
        <v>11</v>
      </c>
      <c r="B15" s="370" t="s">
        <v>78</v>
      </c>
      <c r="C15" s="371"/>
      <c r="D15" s="371"/>
      <c r="E15" s="371"/>
      <c r="F15" s="372"/>
      <c r="G15" s="373" t="str">
        <f t="shared" si="1"/>
        <v>TIROKIN_TEDORIGAKU</v>
      </c>
      <c r="H15" s="374"/>
      <c r="I15" s="374"/>
      <c r="J15" s="375"/>
      <c r="K15" s="376" t="str">
        <f t="shared" si="5"/>
        <v>Number</v>
      </c>
      <c r="L15" s="377"/>
      <c r="M15" s="378">
        <f t="shared" si="6"/>
        <v>11</v>
      </c>
      <c r="N15" s="379" t="str">
        <f t="shared" si="4"/>
        <v/>
      </c>
      <c r="O15" s="380"/>
      <c r="P15" s="380"/>
      <c r="Q15" s="381" t="s">
        <v>7052</v>
      </c>
      <c r="R15" s="382"/>
      <c r="S15" s="382"/>
      <c r="T15" s="382"/>
      <c r="U15" s="383"/>
      <c r="V15" s="447"/>
      <c r="W15" s="385"/>
      <c r="X15" s="385"/>
      <c r="Y15" s="385"/>
      <c r="Z15" s="385"/>
      <c r="AA15" s="385"/>
      <c r="AB15" s="385"/>
    </row>
    <row r="16" spans="1:28" s="386" customFormat="1">
      <c r="A16" s="387">
        <f t="shared" si="0"/>
        <v>12</v>
      </c>
      <c r="B16" s="370" t="s">
        <v>6704</v>
      </c>
      <c r="C16" s="371"/>
      <c r="D16" s="371"/>
      <c r="E16" s="371"/>
      <c r="F16" s="372"/>
      <c r="G16" s="373" t="str">
        <f t="shared" si="1"/>
        <v>KYUYO_SYOKOJO</v>
      </c>
      <c r="H16" s="374"/>
      <c r="I16" s="374"/>
      <c r="J16" s="375"/>
      <c r="K16" s="376" t="str">
        <f t="shared" si="5"/>
        <v>Number</v>
      </c>
      <c r="L16" s="377"/>
      <c r="M16" s="378">
        <f t="shared" si="6"/>
        <v>11</v>
      </c>
      <c r="N16" s="379" t="str">
        <f t="shared" si="4"/>
        <v/>
      </c>
      <c r="O16" s="380"/>
      <c r="P16" s="380"/>
      <c r="Q16" s="381" t="s">
        <v>7052</v>
      </c>
      <c r="R16" s="382"/>
      <c r="S16" s="382"/>
      <c r="T16" s="382"/>
      <c r="U16" s="383"/>
      <c r="V16" s="384"/>
      <c r="W16" s="385"/>
      <c r="X16" s="385"/>
      <c r="Y16" s="385"/>
      <c r="Z16" s="385"/>
      <c r="AA16" s="385"/>
      <c r="AB16" s="385"/>
    </row>
    <row r="17" spans="1:28" s="388" customFormat="1">
      <c r="A17" s="369">
        <f t="shared" si="0"/>
        <v>13</v>
      </c>
      <c r="B17" s="370" t="s">
        <v>6705</v>
      </c>
      <c r="C17" s="371"/>
      <c r="D17" s="371"/>
      <c r="E17" s="371"/>
      <c r="F17" s="372"/>
      <c r="G17" s="373" t="str">
        <f t="shared" si="1"/>
        <v>YKHOSHU_KAZEI</v>
      </c>
      <c r="H17" s="374"/>
      <c r="I17" s="374"/>
      <c r="J17" s="375"/>
      <c r="K17" s="376" t="str">
        <f t="shared" si="5"/>
        <v>Number</v>
      </c>
      <c r="L17" s="377"/>
      <c r="M17" s="378">
        <f t="shared" si="6"/>
        <v>11</v>
      </c>
      <c r="N17" s="379" t="str">
        <f t="shared" si="4"/>
        <v/>
      </c>
      <c r="O17" s="380"/>
      <c r="P17" s="380"/>
      <c r="Q17" s="381" t="s">
        <v>7052</v>
      </c>
      <c r="R17" s="382"/>
      <c r="S17" s="382"/>
      <c r="T17" s="382"/>
      <c r="U17" s="383"/>
      <c r="V17" s="384"/>
      <c r="W17" s="385"/>
      <c r="X17" s="385"/>
      <c r="Y17" s="385"/>
      <c r="Z17" s="385"/>
      <c r="AA17" s="385"/>
      <c r="AB17" s="385"/>
    </row>
    <row r="18" spans="1:28" s="386" customFormat="1">
      <c r="A18" s="387">
        <f t="shared" si="0"/>
        <v>14</v>
      </c>
      <c r="B18" s="370" t="s">
        <v>6588</v>
      </c>
      <c r="C18" s="371"/>
      <c r="D18" s="371"/>
      <c r="E18" s="371"/>
      <c r="F18" s="372"/>
      <c r="G18" s="373" t="str">
        <f t="shared" si="1"/>
        <v>YKHOSHU_SYOJUZEI</v>
      </c>
      <c r="H18" s="374"/>
      <c r="I18" s="374"/>
      <c r="J18" s="375"/>
      <c r="K18" s="376" t="str">
        <f t="shared" si="5"/>
        <v>Number</v>
      </c>
      <c r="L18" s="377"/>
      <c r="M18" s="378">
        <f t="shared" si="6"/>
        <v>11</v>
      </c>
      <c r="N18" s="379" t="str">
        <f t="shared" si="4"/>
        <v/>
      </c>
      <c r="O18" s="380"/>
      <c r="P18" s="380"/>
      <c r="Q18" s="381" t="s">
        <v>7052</v>
      </c>
      <c r="R18" s="382"/>
      <c r="S18" s="382"/>
      <c r="T18" s="382"/>
      <c r="U18" s="383"/>
      <c r="V18" s="384"/>
      <c r="W18" s="385"/>
      <c r="X18" s="385"/>
      <c r="Y18" s="385"/>
      <c r="Z18" s="385"/>
      <c r="AA18" s="385"/>
      <c r="AB18" s="385"/>
    </row>
    <row r="19" spans="1:28" s="388" customFormat="1">
      <c r="A19" s="369">
        <f t="shared" si="0"/>
        <v>15</v>
      </c>
      <c r="B19" s="370" t="s">
        <v>6706</v>
      </c>
      <c r="C19" s="371"/>
      <c r="D19" s="371"/>
      <c r="E19" s="371"/>
      <c r="F19" s="372"/>
      <c r="G19" s="373" t="str">
        <f t="shared" si="1"/>
        <v>YKHOSHU_TEDORIGAKU</v>
      </c>
      <c r="H19" s="374"/>
      <c r="I19" s="374"/>
      <c r="J19" s="375"/>
      <c r="K19" s="376" t="str">
        <f t="shared" si="5"/>
        <v>Number</v>
      </c>
      <c r="L19" s="377"/>
      <c r="M19" s="378">
        <f t="shared" si="6"/>
        <v>11</v>
      </c>
      <c r="N19" s="379" t="str">
        <f t="shared" si="4"/>
        <v/>
      </c>
      <c r="O19" s="380"/>
      <c r="P19" s="380"/>
      <c r="Q19" s="381" t="s">
        <v>7052</v>
      </c>
      <c r="R19" s="382"/>
      <c r="S19" s="382"/>
      <c r="T19" s="382"/>
      <c r="U19" s="383"/>
      <c r="V19" s="448"/>
      <c r="W19" s="385"/>
      <c r="X19" s="385"/>
      <c r="Y19" s="385"/>
      <c r="Z19" s="385"/>
      <c r="AA19" s="385"/>
      <c r="AB19" s="385"/>
    </row>
    <row r="20" spans="1:28" s="388" customFormat="1">
      <c r="A20" s="387">
        <f t="shared" si="0"/>
        <v>16</v>
      </c>
      <c r="B20" s="370" t="s">
        <v>6707</v>
      </c>
      <c r="C20" s="371"/>
      <c r="D20" s="371"/>
      <c r="E20" s="371"/>
      <c r="F20" s="372"/>
      <c r="G20" s="373" t="str">
        <f t="shared" si="1"/>
        <v>TEDORIGAKU_SAGAKU</v>
      </c>
      <c r="H20" s="374"/>
      <c r="I20" s="374"/>
      <c r="J20" s="375"/>
      <c r="K20" s="376" t="str">
        <f t="shared" si="5"/>
        <v>Number</v>
      </c>
      <c r="L20" s="377"/>
      <c r="M20" s="378">
        <f t="shared" si="6"/>
        <v>11</v>
      </c>
      <c r="N20" s="379" t="str">
        <f t="shared" si="4"/>
        <v/>
      </c>
      <c r="O20" s="380"/>
      <c r="P20" s="380"/>
      <c r="Q20" s="381" t="s">
        <v>7052</v>
      </c>
      <c r="R20" s="382"/>
      <c r="S20" s="382"/>
      <c r="T20" s="382"/>
      <c r="U20" s="383"/>
      <c r="V20" s="384"/>
      <c r="W20" s="385"/>
      <c r="X20" s="385"/>
      <c r="Y20" s="385"/>
      <c r="Z20" s="385"/>
      <c r="AA20" s="385"/>
      <c r="AB20" s="385"/>
    </row>
    <row r="21" spans="1:28" s="388" customFormat="1">
      <c r="A21" s="369">
        <f t="shared" si="0"/>
        <v>17</v>
      </c>
      <c r="B21" s="370" t="s">
        <v>6916</v>
      </c>
      <c r="C21" s="371"/>
      <c r="D21" s="371"/>
      <c r="E21" s="371"/>
      <c r="F21" s="372"/>
      <c r="G21" s="373" t="str">
        <f t="shared" si="1"/>
        <v>SYSTEM_CREATE_DATE</v>
      </c>
      <c r="H21" s="374"/>
      <c r="I21" s="374"/>
      <c r="J21" s="375"/>
      <c r="K21" s="376" t="str">
        <f t="shared" si="5"/>
        <v>Date</v>
      </c>
      <c r="L21" s="377"/>
      <c r="M21" s="378" t="str">
        <f t="shared" si="6"/>
        <v>　</v>
      </c>
      <c r="N21" s="379" t="str">
        <f t="shared" si="4"/>
        <v/>
      </c>
      <c r="O21" s="380" t="s">
        <v>66</v>
      </c>
      <c r="P21" s="380"/>
      <c r="Q21" s="381"/>
      <c r="R21" s="382"/>
      <c r="S21" s="382"/>
      <c r="T21" s="382"/>
      <c r="U21" s="383"/>
      <c r="V21" s="448" t="s">
        <v>6696</v>
      </c>
      <c r="W21" s="385"/>
      <c r="X21" s="385"/>
      <c r="Y21" s="385"/>
      <c r="Z21" s="385"/>
      <c r="AA21" s="385"/>
      <c r="AB21" s="385"/>
    </row>
    <row r="22" spans="1:28" s="388" customFormat="1">
      <c r="A22" s="387">
        <f t="shared" si="0"/>
        <v>18</v>
      </c>
      <c r="B22" s="370" t="s">
        <v>6917</v>
      </c>
      <c r="C22" s="371"/>
      <c r="D22" s="371"/>
      <c r="E22" s="371"/>
      <c r="F22" s="372"/>
      <c r="G22" s="373" t="str">
        <f t="shared" si="1"/>
        <v>SYSTEM_UPDATE_DATE</v>
      </c>
      <c r="H22" s="374"/>
      <c r="I22" s="374"/>
      <c r="J22" s="375"/>
      <c r="K22" s="376" t="str">
        <f t="shared" si="5"/>
        <v>Date</v>
      </c>
      <c r="L22" s="377"/>
      <c r="M22" s="378" t="str">
        <f t="shared" si="6"/>
        <v>　</v>
      </c>
      <c r="N22" s="379" t="str">
        <f t="shared" si="4"/>
        <v/>
      </c>
      <c r="O22" s="380" t="s">
        <v>66</v>
      </c>
      <c r="P22" s="380"/>
      <c r="Q22" s="381"/>
      <c r="R22" s="382"/>
      <c r="S22" s="382"/>
      <c r="T22" s="382"/>
      <c r="U22" s="383"/>
      <c r="V22" s="384" t="s">
        <v>6988</v>
      </c>
      <c r="W22" s="385"/>
      <c r="X22" s="385"/>
      <c r="Y22" s="385"/>
      <c r="Z22" s="385"/>
      <c r="AA22" s="385"/>
      <c r="AB22" s="385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5:J5">
    <cfRule type="expression" dxfId="126" priority="17" stopIfTrue="1">
      <formula>LEN(G5)&gt;30</formula>
    </cfRule>
  </conditionalFormatting>
  <conditionalFormatting sqref="G7:J7">
    <cfRule type="expression" dxfId="125" priority="16" stopIfTrue="1">
      <formula>LEN(G7)&gt;30</formula>
    </cfRule>
  </conditionalFormatting>
  <conditionalFormatting sqref="G6:J6">
    <cfRule type="expression" dxfId="124" priority="14" stopIfTrue="1">
      <formula>LEN(G6)&gt;30</formula>
    </cfRule>
  </conditionalFormatting>
  <conditionalFormatting sqref="G8:J10">
    <cfRule type="expression" dxfId="123" priority="10" stopIfTrue="1">
      <formula>LEN(G8)&gt;30</formula>
    </cfRule>
  </conditionalFormatting>
  <conditionalFormatting sqref="G16:J18">
    <cfRule type="expression" dxfId="122" priority="6" stopIfTrue="1">
      <formula>LEN(G16)&gt;30</formula>
    </cfRule>
  </conditionalFormatting>
  <conditionalFormatting sqref="G20:J20">
    <cfRule type="expression" dxfId="121" priority="3" stopIfTrue="1">
      <formula>LEN(G20)&gt;30</formula>
    </cfRule>
  </conditionalFormatting>
  <conditionalFormatting sqref="G11:J11">
    <cfRule type="expression" dxfId="120" priority="9" stopIfTrue="1">
      <formula>LEN(G11)&gt;30</formula>
    </cfRule>
  </conditionalFormatting>
  <conditionalFormatting sqref="G12:J13">
    <cfRule type="expression" dxfId="119" priority="8" stopIfTrue="1">
      <formula>LEN(G12)&gt;30</formula>
    </cfRule>
  </conditionalFormatting>
  <conditionalFormatting sqref="G15:J15">
    <cfRule type="expression" dxfId="118" priority="7" stopIfTrue="1">
      <formula>LEN(G15)&gt;30</formula>
    </cfRule>
  </conditionalFormatting>
  <conditionalFormatting sqref="G14:J14">
    <cfRule type="expression" dxfId="117" priority="5" stopIfTrue="1">
      <formula>LEN(G14)&gt;30</formula>
    </cfRule>
  </conditionalFormatting>
  <conditionalFormatting sqref="G19:J19">
    <cfRule type="expression" dxfId="116" priority="4" stopIfTrue="1">
      <formula>LEN(G19)&gt;30</formula>
    </cfRule>
  </conditionalFormatting>
  <conditionalFormatting sqref="G22:J22">
    <cfRule type="expression" dxfId="115" priority="1" stopIfTrue="1">
      <formula>LEN(G22)&gt;30</formula>
    </cfRule>
  </conditionalFormatting>
  <conditionalFormatting sqref="G21:J21">
    <cfRule type="expression" dxfId="114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0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30" sqref="M30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72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6441</v>
      </c>
      <c r="J2" s="325"/>
      <c r="K2" s="325"/>
      <c r="L2" s="325"/>
      <c r="M2" s="325"/>
      <c r="N2" s="325"/>
      <c r="O2" s="325"/>
      <c r="P2" s="326" t="str">
        <f>VLOOKUP(I2,単語,2,FALSE)</f>
        <v>T_CORP_CASHF_KAIZE</v>
      </c>
      <c r="Q2" s="326"/>
      <c r="R2" s="326"/>
      <c r="S2" s="326"/>
      <c r="T2" s="326"/>
      <c r="U2" s="326"/>
      <c r="V2" s="271" t="str">
        <f>VLOOKUP(I2,テーブル,5,FALSE)</f>
        <v>TS_NVTT</v>
      </c>
      <c r="W2" s="327" t="s">
        <v>25</v>
      </c>
      <c r="X2" s="325"/>
      <c r="Y2" s="325"/>
      <c r="Z2" s="325"/>
      <c r="AA2" s="329">
        <v>41584</v>
      </c>
      <c r="AB2" s="325"/>
    </row>
    <row r="3" spans="1:28" ht="30" customHeight="1">
      <c r="A3" s="6" t="s">
        <v>6</v>
      </c>
      <c r="B3" s="330" t="s">
        <v>6947</v>
      </c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1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1" t="s">
        <v>11</v>
      </c>
      <c r="N4" s="71" t="s">
        <v>12</v>
      </c>
      <c r="O4" s="71" t="s">
        <v>13</v>
      </c>
      <c r="P4" s="71" t="s">
        <v>14</v>
      </c>
      <c r="Q4" s="313" t="s">
        <v>15</v>
      </c>
      <c r="R4" s="313"/>
      <c r="S4" s="313"/>
      <c r="T4" s="313"/>
      <c r="U4" s="313"/>
      <c r="V4" s="71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 t="shared" ref="A5:A40" si="0">ROW()-4</f>
        <v>1</v>
      </c>
      <c r="B5" s="356" t="s">
        <v>6465</v>
      </c>
      <c r="C5" s="357"/>
      <c r="D5" s="357"/>
      <c r="E5" s="357"/>
      <c r="F5" s="358"/>
      <c r="G5" s="300" t="str">
        <f t="shared" ref="G5:G40" si="1">IF(ISNA(VLOOKUP($B5,単語,2,FALSE)),"",(VLOOKUP($B5,単語,2,FALSE)))</f>
        <v>PLAN_ID</v>
      </c>
      <c r="H5" s="301"/>
      <c r="I5" s="301"/>
      <c r="J5" s="302"/>
      <c r="K5" s="320" t="str">
        <f t="shared" ref="K5:K30" si="2">IF(ISNA(VLOOKUP($B5,単語,4,FALSE)),"",(VLOOKUP($B5,単語,4,FALSE)))</f>
        <v>Varchar2</v>
      </c>
      <c r="L5" s="321"/>
      <c r="M5" s="10">
        <f t="shared" ref="M5:M40" si="3">IF(ISNA(VLOOKUP($B5,単語,5,FALSE)),"",IF(ISBLANK(VLOOKUP($B5,単語,5,FALSE)),"",(VLOOKUP($B5,単語,5,FALSE))))</f>
        <v>36</v>
      </c>
      <c r="N5" s="11" t="str">
        <f t="shared" ref="N5:N4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8">
        <f t="shared" si="0"/>
        <v>2</v>
      </c>
      <c r="B6" s="343" t="s">
        <v>6442</v>
      </c>
      <c r="C6" s="344"/>
      <c r="D6" s="344"/>
      <c r="E6" s="344"/>
      <c r="F6" s="345"/>
      <c r="G6" s="292" t="str">
        <f t="shared" si="1"/>
        <v>SAGE_KINGAKU</v>
      </c>
      <c r="H6" s="293"/>
      <c r="I6" s="293"/>
      <c r="J6" s="294"/>
      <c r="K6" s="295" t="str">
        <f t="shared" si="2"/>
        <v>Number</v>
      </c>
      <c r="L6" s="296"/>
      <c r="M6" s="34">
        <f t="shared" si="3"/>
        <v>11</v>
      </c>
      <c r="N6" s="35"/>
      <c r="O6" s="36"/>
      <c r="P6" s="36"/>
      <c r="Q6" s="285" t="s">
        <v>7044</v>
      </c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 s="386" customFormat="1">
      <c r="A7" s="369">
        <f t="shared" si="0"/>
        <v>3</v>
      </c>
      <c r="B7" s="427" t="s">
        <v>6443</v>
      </c>
      <c r="C7" s="428"/>
      <c r="D7" s="428"/>
      <c r="E7" s="428"/>
      <c r="F7" s="429"/>
      <c r="G7" s="373" t="str">
        <f t="shared" si="1"/>
        <v>YAKUIN_TAISHOKU_HJGAKU</v>
      </c>
      <c r="H7" s="374"/>
      <c r="I7" s="374"/>
      <c r="J7" s="375"/>
      <c r="K7" s="376" t="str">
        <f t="shared" si="2"/>
        <v>Number</v>
      </c>
      <c r="L7" s="377"/>
      <c r="M7" s="378">
        <f t="shared" si="3"/>
        <v>11</v>
      </c>
      <c r="N7" s="379"/>
      <c r="O7" s="380"/>
      <c r="P7" s="380"/>
      <c r="Q7" s="381" t="s">
        <v>7050</v>
      </c>
      <c r="R7" s="382"/>
      <c r="S7" s="382"/>
      <c r="T7" s="382"/>
      <c r="U7" s="383"/>
      <c r="V7" s="384"/>
      <c r="W7" s="385"/>
      <c r="X7" s="385"/>
      <c r="Y7" s="385"/>
      <c r="Z7" s="385"/>
      <c r="AA7" s="385"/>
      <c r="AB7" s="385"/>
    </row>
    <row r="8" spans="1:28" s="388" customFormat="1">
      <c r="A8" s="387">
        <f t="shared" si="0"/>
        <v>4</v>
      </c>
      <c r="B8" s="427" t="s">
        <v>82</v>
      </c>
      <c r="C8" s="428"/>
      <c r="D8" s="428"/>
      <c r="E8" s="428"/>
      <c r="F8" s="429"/>
      <c r="G8" s="373" t="str">
        <f t="shared" si="1"/>
        <v>YUTAI_KIKAN</v>
      </c>
      <c r="H8" s="374"/>
      <c r="I8" s="374"/>
      <c r="J8" s="375"/>
      <c r="K8" s="376" t="str">
        <f t="shared" si="2"/>
        <v>Number</v>
      </c>
      <c r="L8" s="377"/>
      <c r="M8" s="378">
        <f t="shared" si="3"/>
        <v>2</v>
      </c>
      <c r="N8" s="379"/>
      <c r="O8" s="380"/>
      <c r="P8" s="380"/>
      <c r="Q8" s="381" t="s">
        <v>7052</v>
      </c>
      <c r="R8" s="382"/>
      <c r="S8" s="382"/>
      <c r="T8" s="382"/>
      <c r="U8" s="383"/>
      <c r="V8" s="384"/>
      <c r="W8" s="385"/>
      <c r="X8" s="385"/>
      <c r="Y8" s="385"/>
      <c r="Z8" s="385"/>
      <c r="AA8" s="385"/>
      <c r="AB8" s="385"/>
    </row>
    <row r="9" spans="1:28" s="386" customFormat="1">
      <c r="A9" s="369">
        <f t="shared" si="0"/>
        <v>5</v>
      </c>
      <c r="B9" s="427" t="s">
        <v>6840</v>
      </c>
      <c r="C9" s="428"/>
      <c r="D9" s="428"/>
      <c r="E9" s="428"/>
      <c r="F9" s="429"/>
      <c r="G9" s="373" t="str">
        <f t="shared" si="1"/>
        <v>SAGEGO_YKHSGTGAKU</v>
      </c>
      <c r="H9" s="374"/>
      <c r="I9" s="374"/>
      <c r="J9" s="375"/>
      <c r="K9" s="376" t="str">
        <f t="shared" si="2"/>
        <v>Number</v>
      </c>
      <c r="L9" s="377"/>
      <c r="M9" s="378">
        <f t="shared" si="3"/>
        <v>11</v>
      </c>
      <c r="N9" s="379"/>
      <c r="O9" s="380"/>
      <c r="P9" s="380"/>
      <c r="Q9" s="381" t="s">
        <v>7050</v>
      </c>
      <c r="R9" s="382"/>
      <c r="S9" s="382"/>
      <c r="T9" s="382"/>
      <c r="U9" s="383"/>
      <c r="V9" s="384"/>
      <c r="W9" s="385"/>
      <c r="X9" s="385"/>
      <c r="Y9" s="385"/>
      <c r="Z9" s="385"/>
      <c r="AA9" s="385"/>
      <c r="AB9" s="385"/>
    </row>
    <row r="10" spans="1:28" s="388" customFormat="1">
      <c r="A10" s="387">
        <f t="shared" si="0"/>
        <v>6</v>
      </c>
      <c r="B10" s="427" t="s">
        <v>6444</v>
      </c>
      <c r="C10" s="428"/>
      <c r="D10" s="428"/>
      <c r="E10" s="428"/>
      <c r="F10" s="429"/>
      <c r="G10" s="373" t="str">
        <f t="shared" si="1"/>
        <v>KOJIN_SHUNYU_ZOGEN</v>
      </c>
      <c r="H10" s="374"/>
      <c r="I10" s="374"/>
      <c r="J10" s="375"/>
      <c r="K10" s="376" t="str">
        <f t="shared" si="2"/>
        <v>Number</v>
      </c>
      <c r="L10" s="377"/>
      <c r="M10" s="378">
        <f t="shared" si="3"/>
        <v>11</v>
      </c>
      <c r="N10" s="379"/>
      <c r="O10" s="380"/>
      <c r="P10" s="380"/>
      <c r="Q10" s="381" t="s">
        <v>7052</v>
      </c>
      <c r="R10" s="382"/>
      <c r="S10" s="382"/>
      <c r="T10" s="382"/>
      <c r="U10" s="383"/>
      <c r="V10" s="384"/>
      <c r="W10" s="385"/>
      <c r="X10" s="385"/>
      <c r="Y10" s="385"/>
      <c r="Z10" s="385"/>
      <c r="AA10" s="385"/>
      <c r="AB10" s="385"/>
    </row>
    <row r="11" spans="1:28" s="388" customFormat="1">
      <c r="A11" s="387">
        <f t="shared" si="0"/>
        <v>7</v>
      </c>
      <c r="B11" s="427" t="s">
        <v>6824</v>
      </c>
      <c r="C11" s="428"/>
      <c r="D11" s="428"/>
      <c r="E11" s="428"/>
      <c r="F11" s="429"/>
      <c r="G11" s="373" t="str">
        <f t="shared" si="1"/>
        <v>KJSGMAE_SOJUKYU</v>
      </c>
      <c r="H11" s="374"/>
      <c r="I11" s="374"/>
      <c r="J11" s="375"/>
      <c r="K11" s="376" t="str">
        <f t="shared" si="2"/>
        <v>Number</v>
      </c>
      <c r="L11" s="377"/>
      <c r="M11" s="378">
        <f t="shared" si="3"/>
        <v>11</v>
      </c>
      <c r="N11" s="379"/>
      <c r="O11" s="380"/>
      <c r="P11" s="380"/>
      <c r="Q11" s="381" t="s">
        <v>7050</v>
      </c>
      <c r="R11" s="382"/>
      <c r="S11" s="382"/>
      <c r="T11" s="382"/>
      <c r="U11" s="383"/>
      <c r="V11" s="384"/>
      <c r="W11" s="385"/>
      <c r="X11" s="385"/>
      <c r="Y11" s="385"/>
      <c r="Z11" s="385"/>
      <c r="AA11" s="385"/>
      <c r="AB11" s="385"/>
    </row>
    <row r="12" spans="1:28" s="386" customFormat="1">
      <c r="A12" s="369">
        <f t="shared" si="0"/>
        <v>8</v>
      </c>
      <c r="B12" s="427" t="s">
        <v>6710</v>
      </c>
      <c r="C12" s="428"/>
      <c r="D12" s="428"/>
      <c r="E12" s="428"/>
      <c r="F12" s="429"/>
      <c r="G12" s="373" t="str">
        <f t="shared" si="1"/>
        <v>SAGEMAE_YKHOSHU</v>
      </c>
      <c r="H12" s="374"/>
      <c r="I12" s="374"/>
      <c r="J12" s="375"/>
      <c r="K12" s="376" t="str">
        <f t="shared" si="2"/>
        <v>Number</v>
      </c>
      <c r="L12" s="377"/>
      <c r="M12" s="378">
        <f t="shared" si="3"/>
        <v>11</v>
      </c>
      <c r="N12" s="379"/>
      <c r="O12" s="380"/>
      <c r="P12" s="380"/>
      <c r="Q12" s="381" t="s">
        <v>7052</v>
      </c>
      <c r="R12" s="382"/>
      <c r="S12" s="382"/>
      <c r="T12" s="382"/>
      <c r="U12" s="383"/>
      <c r="V12" s="384"/>
      <c r="W12" s="430"/>
      <c r="X12" s="431"/>
      <c r="Y12" s="431"/>
      <c r="Z12" s="431"/>
      <c r="AA12" s="431"/>
      <c r="AB12" s="432"/>
    </row>
    <row r="13" spans="1:28" s="386" customFormat="1">
      <c r="A13" s="369">
        <f t="shared" si="0"/>
        <v>9</v>
      </c>
      <c r="B13" s="427" t="s">
        <v>6825</v>
      </c>
      <c r="C13" s="428"/>
      <c r="D13" s="428"/>
      <c r="E13" s="428"/>
      <c r="F13" s="429"/>
      <c r="G13" s="373" t="str">
        <f t="shared" si="1"/>
        <v>KJSGMAE_ROREI_NENKIN</v>
      </c>
      <c r="H13" s="374"/>
      <c r="I13" s="374"/>
      <c r="J13" s="375"/>
      <c r="K13" s="376" t="str">
        <f t="shared" si="2"/>
        <v>Number</v>
      </c>
      <c r="L13" s="377"/>
      <c r="M13" s="378">
        <f t="shared" si="3"/>
        <v>11</v>
      </c>
      <c r="N13" s="379"/>
      <c r="O13" s="380"/>
      <c r="P13" s="380"/>
      <c r="Q13" s="381" t="s">
        <v>7050</v>
      </c>
      <c r="R13" s="382"/>
      <c r="S13" s="382"/>
      <c r="T13" s="382"/>
      <c r="U13" s="383"/>
      <c r="V13" s="384"/>
      <c r="W13" s="385"/>
      <c r="X13" s="385"/>
      <c r="Y13" s="385"/>
      <c r="Z13" s="385"/>
      <c r="AA13" s="385"/>
      <c r="AB13" s="385"/>
    </row>
    <row r="14" spans="1:28" s="388" customFormat="1" ht="13.5" customHeight="1">
      <c r="A14" s="387">
        <f t="shared" si="0"/>
        <v>10</v>
      </c>
      <c r="B14" s="427" t="s">
        <v>6826</v>
      </c>
      <c r="C14" s="428"/>
      <c r="D14" s="428"/>
      <c r="E14" s="428"/>
      <c r="F14" s="429"/>
      <c r="G14" s="373" t="str">
        <f t="shared" si="1"/>
        <v>KJSGMAE_SYAKAI_P</v>
      </c>
      <c r="H14" s="374"/>
      <c r="I14" s="374"/>
      <c r="J14" s="375"/>
      <c r="K14" s="376" t="str">
        <f t="shared" si="2"/>
        <v>Number</v>
      </c>
      <c r="L14" s="377"/>
      <c r="M14" s="378">
        <f t="shared" si="3"/>
        <v>11</v>
      </c>
      <c r="N14" s="379"/>
      <c r="O14" s="380"/>
      <c r="P14" s="380"/>
      <c r="Q14" s="381" t="s">
        <v>7052</v>
      </c>
      <c r="R14" s="382"/>
      <c r="S14" s="382"/>
      <c r="T14" s="382"/>
      <c r="U14" s="383"/>
      <c r="V14" s="384"/>
      <c r="W14" s="385"/>
      <c r="X14" s="385"/>
      <c r="Y14" s="385"/>
      <c r="Z14" s="385"/>
      <c r="AA14" s="385"/>
      <c r="AB14" s="385"/>
    </row>
    <row r="15" spans="1:28" s="388" customFormat="1" ht="13.5" customHeight="1">
      <c r="A15" s="369">
        <f t="shared" si="0"/>
        <v>11</v>
      </c>
      <c r="B15" s="427" t="s">
        <v>6827</v>
      </c>
      <c r="C15" s="428"/>
      <c r="D15" s="428"/>
      <c r="E15" s="428"/>
      <c r="F15" s="429"/>
      <c r="G15" s="373" t="str">
        <f t="shared" si="1"/>
        <v>KJSGMAE_SYOJUZEI</v>
      </c>
      <c r="H15" s="374"/>
      <c r="I15" s="374"/>
      <c r="J15" s="375"/>
      <c r="K15" s="376" t="str">
        <f t="shared" si="2"/>
        <v>Number</v>
      </c>
      <c r="L15" s="377"/>
      <c r="M15" s="378">
        <f t="shared" si="3"/>
        <v>11</v>
      </c>
      <c r="N15" s="379"/>
      <c r="O15" s="380"/>
      <c r="P15" s="380"/>
      <c r="Q15" s="381" t="s">
        <v>7050</v>
      </c>
      <c r="R15" s="382"/>
      <c r="S15" s="382"/>
      <c r="T15" s="382"/>
      <c r="U15" s="383"/>
      <c r="V15" s="384"/>
      <c r="W15" s="385"/>
      <c r="X15" s="385"/>
      <c r="Y15" s="385"/>
      <c r="Z15" s="385"/>
      <c r="AA15" s="385"/>
      <c r="AB15" s="385"/>
    </row>
    <row r="16" spans="1:28" s="388" customFormat="1" ht="13.5" customHeight="1">
      <c r="A16" s="387">
        <f t="shared" si="0"/>
        <v>12</v>
      </c>
      <c r="B16" s="427" t="s">
        <v>6828</v>
      </c>
      <c r="C16" s="428"/>
      <c r="D16" s="428"/>
      <c r="E16" s="428"/>
      <c r="F16" s="429"/>
      <c r="G16" s="373" t="str">
        <f t="shared" si="1"/>
        <v>KJSGMAE_SHUNYU_SOGAKU</v>
      </c>
      <c r="H16" s="374"/>
      <c r="I16" s="374"/>
      <c r="J16" s="375"/>
      <c r="K16" s="376" t="str">
        <f t="shared" si="2"/>
        <v>Number</v>
      </c>
      <c r="L16" s="377"/>
      <c r="M16" s="378">
        <f t="shared" si="3"/>
        <v>11</v>
      </c>
      <c r="N16" s="379"/>
      <c r="O16" s="380"/>
      <c r="P16" s="380"/>
      <c r="Q16" s="381" t="s">
        <v>7052</v>
      </c>
      <c r="R16" s="382"/>
      <c r="S16" s="382"/>
      <c r="T16" s="382"/>
      <c r="U16" s="383"/>
      <c r="V16" s="384"/>
      <c r="W16" s="385"/>
      <c r="X16" s="385"/>
      <c r="Y16" s="385"/>
      <c r="Z16" s="385"/>
      <c r="AA16" s="385"/>
      <c r="AB16" s="385"/>
    </row>
    <row r="17" spans="1:28" s="386" customFormat="1">
      <c r="A17" s="387">
        <f t="shared" si="0"/>
        <v>13</v>
      </c>
      <c r="B17" s="427" t="s">
        <v>6829</v>
      </c>
      <c r="C17" s="428"/>
      <c r="D17" s="428"/>
      <c r="E17" s="428"/>
      <c r="F17" s="429"/>
      <c r="G17" s="373" t="str">
        <f t="shared" si="1"/>
        <v>KJSGGO_SOJUKYU_GAKU</v>
      </c>
      <c r="H17" s="374"/>
      <c r="I17" s="374"/>
      <c r="J17" s="375"/>
      <c r="K17" s="376" t="str">
        <f t="shared" si="2"/>
        <v>Number</v>
      </c>
      <c r="L17" s="377"/>
      <c r="M17" s="378">
        <f t="shared" si="3"/>
        <v>11</v>
      </c>
      <c r="N17" s="379"/>
      <c r="O17" s="380"/>
      <c r="P17" s="380"/>
      <c r="Q17" s="381" t="s">
        <v>7050</v>
      </c>
      <c r="R17" s="382"/>
      <c r="S17" s="382"/>
      <c r="T17" s="382"/>
      <c r="U17" s="383"/>
      <c r="V17" s="384"/>
      <c r="W17" s="385"/>
      <c r="X17" s="385"/>
      <c r="Y17" s="385"/>
      <c r="Z17" s="385"/>
      <c r="AA17" s="385"/>
      <c r="AB17" s="385"/>
    </row>
    <row r="18" spans="1:28" s="386" customFormat="1">
      <c r="A18" s="369">
        <f t="shared" si="0"/>
        <v>14</v>
      </c>
      <c r="B18" s="427" t="s">
        <v>6712</v>
      </c>
      <c r="C18" s="428"/>
      <c r="D18" s="428"/>
      <c r="E18" s="428"/>
      <c r="F18" s="429"/>
      <c r="G18" s="373" t="str">
        <f t="shared" si="1"/>
        <v>SAGEGO_YKHOSHU</v>
      </c>
      <c r="H18" s="374"/>
      <c r="I18" s="374"/>
      <c r="J18" s="375"/>
      <c r="K18" s="376" t="str">
        <f t="shared" si="2"/>
        <v>Number</v>
      </c>
      <c r="L18" s="377"/>
      <c r="M18" s="378">
        <f t="shared" si="3"/>
        <v>11</v>
      </c>
      <c r="N18" s="379"/>
      <c r="O18" s="380"/>
      <c r="P18" s="380"/>
      <c r="Q18" s="381" t="s">
        <v>7052</v>
      </c>
      <c r="R18" s="382"/>
      <c r="S18" s="382"/>
      <c r="T18" s="382"/>
      <c r="U18" s="383"/>
      <c r="V18" s="384"/>
      <c r="W18" s="385"/>
      <c r="X18" s="385"/>
      <c r="Y18" s="385"/>
      <c r="Z18" s="385"/>
      <c r="AA18" s="385"/>
      <c r="AB18" s="385"/>
    </row>
    <row r="19" spans="1:28" s="386" customFormat="1">
      <c r="A19" s="387">
        <f t="shared" si="0"/>
        <v>15</v>
      </c>
      <c r="B19" s="427" t="s">
        <v>6830</v>
      </c>
      <c r="C19" s="428"/>
      <c r="D19" s="428"/>
      <c r="E19" s="428"/>
      <c r="F19" s="429"/>
      <c r="G19" s="373" t="str">
        <f t="shared" si="1"/>
        <v>KJSGGO_ROREI_NENKIN</v>
      </c>
      <c r="H19" s="374"/>
      <c r="I19" s="374"/>
      <c r="J19" s="375"/>
      <c r="K19" s="376" t="str">
        <f t="shared" si="2"/>
        <v>Number</v>
      </c>
      <c r="L19" s="377"/>
      <c r="M19" s="378">
        <f t="shared" si="3"/>
        <v>11</v>
      </c>
      <c r="N19" s="379"/>
      <c r="O19" s="380"/>
      <c r="P19" s="380"/>
      <c r="Q19" s="381" t="s">
        <v>7050</v>
      </c>
      <c r="R19" s="382"/>
      <c r="S19" s="382"/>
      <c r="T19" s="382"/>
      <c r="U19" s="383"/>
      <c r="V19" s="384"/>
      <c r="W19" s="385"/>
      <c r="X19" s="385"/>
      <c r="Y19" s="385"/>
      <c r="Z19" s="385"/>
      <c r="AA19" s="385"/>
      <c r="AB19" s="385"/>
    </row>
    <row r="20" spans="1:28" s="388" customFormat="1">
      <c r="A20" s="387">
        <f t="shared" si="0"/>
        <v>16</v>
      </c>
      <c r="B20" s="427" t="s">
        <v>6831</v>
      </c>
      <c r="C20" s="428"/>
      <c r="D20" s="428"/>
      <c r="E20" s="428"/>
      <c r="F20" s="429"/>
      <c r="G20" s="373" t="str">
        <f t="shared" si="1"/>
        <v>KJSGGO_SYAKAI_P</v>
      </c>
      <c r="H20" s="374"/>
      <c r="I20" s="374"/>
      <c r="J20" s="375"/>
      <c r="K20" s="376" t="str">
        <f t="shared" si="2"/>
        <v>Number</v>
      </c>
      <c r="L20" s="377"/>
      <c r="M20" s="378">
        <f t="shared" si="3"/>
        <v>11</v>
      </c>
      <c r="N20" s="379"/>
      <c r="O20" s="380"/>
      <c r="P20" s="380"/>
      <c r="Q20" s="381" t="s">
        <v>7052</v>
      </c>
      <c r="R20" s="382"/>
      <c r="S20" s="382"/>
      <c r="T20" s="382"/>
      <c r="U20" s="383"/>
      <c r="V20" s="384"/>
      <c r="W20" s="430"/>
      <c r="X20" s="431"/>
      <c r="Y20" s="431"/>
      <c r="Z20" s="431"/>
      <c r="AA20" s="431"/>
      <c r="AB20" s="432"/>
    </row>
    <row r="21" spans="1:28" s="386" customFormat="1">
      <c r="A21" s="369">
        <f t="shared" si="0"/>
        <v>17</v>
      </c>
      <c r="B21" s="427" t="s">
        <v>6832</v>
      </c>
      <c r="C21" s="428"/>
      <c r="D21" s="428"/>
      <c r="E21" s="428"/>
      <c r="F21" s="429"/>
      <c r="G21" s="373" t="str">
        <f t="shared" si="1"/>
        <v>KJSGGO_SYOJUZEI</v>
      </c>
      <c r="H21" s="374"/>
      <c r="I21" s="374"/>
      <c r="J21" s="375"/>
      <c r="K21" s="376" t="str">
        <f t="shared" si="2"/>
        <v>Number</v>
      </c>
      <c r="L21" s="377"/>
      <c r="M21" s="378">
        <f t="shared" si="3"/>
        <v>11</v>
      </c>
      <c r="N21" s="379"/>
      <c r="O21" s="380"/>
      <c r="P21" s="380"/>
      <c r="Q21" s="381" t="s">
        <v>7050</v>
      </c>
      <c r="R21" s="382"/>
      <c r="S21" s="382"/>
      <c r="T21" s="382"/>
      <c r="U21" s="383"/>
      <c r="V21" s="384"/>
      <c r="W21" s="430"/>
      <c r="X21" s="431"/>
      <c r="Y21" s="431"/>
      <c r="Z21" s="431"/>
      <c r="AA21" s="431"/>
      <c r="AB21" s="432"/>
    </row>
    <row r="22" spans="1:28" s="388" customFormat="1">
      <c r="A22" s="387">
        <f t="shared" si="0"/>
        <v>18</v>
      </c>
      <c r="B22" s="427" t="s">
        <v>6833</v>
      </c>
      <c r="C22" s="428"/>
      <c r="D22" s="428"/>
      <c r="E22" s="428"/>
      <c r="F22" s="429"/>
      <c r="G22" s="373" t="str">
        <f t="shared" si="1"/>
        <v>KJSGGO_SHUNYU_SOGAKU</v>
      </c>
      <c r="H22" s="374"/>
      <c r="I22" s="374"/>
      <c r="J22" s="375"/>
      <c r="K22" s="376" t="str">
        <f t="shared" si="2"/>
        <v>Number</v>
      </c>
      <c r="L22" s="377"/>
      <c r="M22" s="378">
        <f t="shared" si="3"/>
        <v>11</v>
      </c>
      <c r="N22" s="379"/>
      <c r="O22" s="380"/>
      <c r="P22" s="380"/>
      <c r="Q22" s="381" t="s">
        <v>7052</v>
      </c>
      <c r="R22" s="382"/>
      <c r="S22" s="382"/>
      <c r="T22" s="382"/>
      <c r="U22" s="383"/>
      <c r="V22" s="384"/>
      <c r="W22" s="430"/>
      <c r="X22" s="431"/>
      <c r="Y22" s="431"/>
      <c r="Z22" s="431"/>
      <c r="AA22" s="431"/>
      <c r="AB22" s="432"/>
    </row>
    <row r="23" spans="1:28" s="388" customFormat="1">
      <c r="A23" s="387">
        <f t="shared" si="0"/>
        <v>19</v>
      </c>
      <c r="B23" s="427" t="s">
        <v>6709</v>
      </c>
      <c r="C23" s="428"/>
      <c r="D23" s="428"/>
      <c r="E23" s="428"/>
      <c r="F23" s="429"/>
      <c r="G23" s="373" t="str">
        <f t="shared" si="1"/>
        <v>CORP_SOFUTANG_ZOGEN</v>
      </c>
      <c r="H23" s="374"/>
      <c r="I23" s="374"/>
      <c r="J23" s="375"/>
      <c r="K23" s="376" t="str">
        <f t="shared" si="2"/>
        <v>Number</v>
      </c>
      <c r="L23" s="377"/>
      <c r="M23" s="378">
        <f t="shared" si="3"/>
        <v>11</v>
      </c>
      <c r="N23" s="379"/>
      <c r="O23" s="380"/>
      <c r="P23" s="380"/>
      <c r="Q23" s="381" t="s">
        <v>7050</v>
      </c>
      <c r="R23" s="382"/>
      <c r="S23" s="382"/>
      <c r="T23" s="382"/>
      <c r="U23" s="383"/>
      <c r="V23" s="384"/>
      <c r="W23" s="430"/>
      <c r="X23" s="431"/>
      <c r="Y23" s="431"/>
      <c r="Z23" s="431"/>
      <c r="AA23" s="431"/>
      <c r="AB23" s="432"/>
    </row>
    <row r="24" spans="1:28" s="386" customFormat="1">
      <c r="A24" s="369">
        <f t="shared" si="0"/>
        <v>20</v>
      </c>
      <c r="B24" s="427" t="s">
        <v>6834</v>
      </c>
      <c r="C24" s="428"/>
      <c r="D24" s="428"/>
      <c r="E24" s="428"/>
      <c r="F24" s="429"/>
      <c r="G24" s="373" t="str">
        <f t="shared" si="1"/>
        <v>HJSGMAE_SOFUTANG</v>
      </c>
      <c r="H24" s="374"/>
      <c r="I24" s="374"/>
      <c r="J24" s="375"/>
      <c r="K24" s="376" t="str">
        <f t="shared" si="2"/>
        <v>Number</v>
      </c>
      <c r="L24" s="377"/>
      <c r="M24" s="378">
        <f t="shared" si="3"/>
        <v>11</v>
      </c>
      <c r="N24" s="379"/>
      <c r="O24" s="380"/>
      <c r="P24" s="380"/>
      <c r="Q24" s="381" t="s">
        <v>7052</v>
      </c>
      <c r="R24" s="382"/>
      <c r="S24" s="382"/>
      <c r="T24" s="382"/>
      <c r="U24" s="383"/>
      <c r="V24" s="384"/>
      <c r="W24" s="430"/>
      <c r="X24" s="431"/>
      <c r="Y24" s="431"/>
      <c r="Z24" s="431"/>
      <c r="AA24" s="431"/>
      <c r="AB24" s="432"/>
    </row>
    <row r="25" spans="1:28" s="388" customFormat="1" ht="13.5" customHeight="1">
      <c r="A25" s="387">
        <f t="shared" si="0"/>
        <v>21</v>
      </c>
      <c r="B25" s="427" t="s">
        <v>6835</v>
      </c>
      <c r="C25" s="428"/>
      <c r="D25" s="428"/>
      <c r="E25" s="428"/>
      <c r="F25" s="429"/>
      <c r="G25" s="373" t="str">
        <f t="shared" si="1"/>
        <v>HJSGMAE_SYAKAI_P</v>
      </c>
      <c r="H25" s="374"/>
      <c r="I25" s="374"/>
      <c r="J25" s="375"/>
      <c r="K25" s="376" t="str">
        <f t="shared" si="2"/>
        <v>Number</v>
      </c>
      <c r="L25" s="377"/>
      <c r="M25" s="378">
        <f t="shared" si="3"/>
        <v>11</v>
      </c>
      <c r="N25" s="379"/>
      <c r="O25" s="380"/>
      <c r="P25" s="380"/>
      <c r="Q25" s="381" t="s">
        <v>7050</v>
      </c>
      <c r="R25" s="382"/>
      <c r="S25" s="382"/>
      <c r="T25" s="382"/>
      <c r="U25" s="383"/>
      <c r="V25" s="384"/>
      <c r="W25" s="430"/>
      <c r="X25" s="431"/>
      <c r="Y25" s="431"/>
      <c r="Z25" s="431"/>
      <c r="AA25" s="431"/>
      <c r="AB25" s="432"/>
    </row>
    <row r="26" spans="1:28" s="388" customFormat="1" ht="13.5" customHeight="1">
      <c r="A26" s="387">
        <f t="shared" si="0"/>
        <v>22</v>
      </c>
      <c r="B26" s="427" t="s">
        <v>6836</v>
      </c>
      <c r="C26" s="428"/>
      <c r="D26" s="428"/>
      <c r="E26" s="428"/>
      <c r="F26" s="429"/>
      <c r="G26" s="373" t="str">
        <f t="shared" si="1"/>
        <v>HJSGGO_SOFUTANG</v>
      </c>
      <c r="H26" s="374"/>
      <c r="I26" s="374"/>
      <c r="J26" s="375"/>
      <c r="K26" s="376" t="str">
        <f t="shared" si="2"/>
        <v>Number</v>
      </c>
      <c r="L26" s="377"/>
      <c r="M26" s="378">
        <f t="shared" si="3"/>
        <v>11</v>
      </c>
      <c r="N26" s="379"/>
      <c r="O26" s="380"/>
      <c r="P26" s="380"/>
      <c r="Q26" s="381" t="s">
        <v>7052</v>
      </c>
      <c r="R26" s="382"/>
      <c r="S26" s="382"/>
      <c r="T26" s="382"/>
      <c r="U26" s="383"/>
      <c r="V26" s="384"/>
      <c r="W26" s="430"/>
      <c r="X26" s="431"/>
      <c r="Y26" s="431"/>
      <c r="Z26" s="431"/>
      <c r="AA26" s="431"/>
      <c r="AB26" s="432"/>
    </row>
    <row r="27" spans="1:28" s="388" customFormat="1" ht="13.5" customHeight="1">
      <c r="A27" s="387">
        <f t="shared" si="0"/>
        <v>23</v>
      </c>
      <c r="B27" s="427" t="s">
        <v>6837</v>
      </c>
      <c r="C27" s="428"/>
      <c r="D27" s="428"/>
      <c r="E27" s="428"/>
      <c r="F27" s="429"/>
      <c r="G27" s="373" t="str">
        <f t="shared" si="1"/>
        <v>HJSGGO_SYAKAI_P</v>
      </c>
      <c r="H27" s="374"/>
      <c r="I27" s="374"/>
      <c r="J27" s="375"/>
      <c r="K27" s="376" t="str">
        <f t="shared" si="2"/>
        <v>Number</v>
      </c>
      <c r="L27" s="377"/>
      <c r="M27" s="378">
        <f t="shared" si="3"/>
        <v>11</v>
      </c>
      <c r="N27" s="379"/>
      <c r="O27" s="380"/>
      <c r="P27" s="380"/>
      <c r="Q27" s="381" t="s">
        <v>7050</v>
      </c>
      <c r="R27" s="382"/>
      <c r="S27" s="382"/>
      <c r="T27" s="382"/>
      <c r="U27" s="383"/>
      <c r="V27" s="384"/>
      <c r="W27" s="430"/>
      <c r="X27" s="431"/>
      <c r="Y27" s="431"/>
      <c r="Z27" s="431"/>
      <c r="AA27" s="431"/>
      <c r="AB27" s="432"/>
    </row>
    <row r="28" spans="1:28" s="388" customFormat="1" ht="13.5" customHeight="1">
      <c r="A28" s="387">
        <f t="shared" si="0"/>
        <v>24</v>
      </c>
      <c r="B28" s="427" t="s">
        <v>6838</v>
      </c>
      <c r="C28" s="428"/>
      <c r="D28" s="428"/>
      <c r="E28" s="428"/>
      <c r="F28" s="429"/>
      <c r="G28" s="373" t="str">
        <f t="shared" si="1"/>
        <v>HJSGGO_HOJZEI_FUTAZO</v>
      </c>
      <c r="H28" s="374"/>
      <c r="I28" s="374"/>
      <c r="J28" s="375"/>
      <c r="K28" s="376" t="str">
        <f t="shared" si="2"/>
        <v>Number</v>
      </c>
      <c r="L28" s="377"/>
      <c r="M28" s="378">
        <f t="shared" si="3"/>
        <v>11</v>
      </c>
      <c r="N28" s="379"/>
      <c r="O28" s="380"/>
      <c r="P28" s="380"/>
      <c r="Q28" s="381" t="s">
        <v>7052</v>
      </c>
      <c r="R28" s="382"/>
      <c r="S28" s="382"/>
      <c r="T28" s="382"/>
      <c r="U28" s="383"/>
      <c r="V28" s="384"/>
      <c r="W28" s="430"/>
      <c r="X28" s="431"/>
      <c r="Y28" s="431"/>
      <c r="Z28" s="431"/>
      <c r="AA28" s="431"/>
      <c r="AB28" s="432"/>
    </row>
    <row r="29" spans="1:28" s="388" customFormat="1" ht="13.5" customHeight="1">
      <c r="A29" s="387">
        <f t="shared" si="0"/>
        <v>25</v>
      </c>
      <c r="B29" s="427" t="s">
        <v>6635</v>
      </c>
      <c r="C29" s="428"/>
      <c r="D29" s="428"/>
      <c r="E29" s="428"/>
      <c r="F29" s="429"/>
      <c r="G29" s="373" t="str">
        <f t="shared" si="1"/>
        <v>SEDOGO_KFRK_KAIZGAKU</v>
      </c>
      <c r="H29" s="374"/>
      <c r="I29" s="374"/>
      <c r="J29" s="375"/>
      <c r="K29" s="376" t="str">
        <f t="shared" si="2"/>
        <v>Number</v>
      </c>
      <c r="L29" s="377"/>
      <c r="M29" s="378">
        <f t="shared" si="3"/>
        <v>11</v>
      </c>
      <c r="N29" s="379"/>
      <c r="O29" s="380"/>
      <c r="P29" s="380"/>
      <c r="Q29" s="381" t="s">
        <v>7050</v>
      </c>
      <c r="R29" s="382"/>
      <c r="S29" s="382"/>
      <c r="T29" s="382"/>
      <c r="U29" s="383"/>
      <c r="V29" s="384"/>
      <c r="W29" s="385"/>
      <c r="X29" s="385"/>
      <c r="Y29" s="385"/>
      <c r="Z29" s="385"/>
      <c r="AA29" s="385"/>
      <c r="AB29" s="385"/>
    </row>
    <row r="30" spans="1:28">
      <c r="A30" s="8">
        <f t="shared" si="0"/>
        <v>26</v>
      </c>
      <c r="B30" s="343" t="s">
        <v>6960</v>
      </c>
      <c r="C30" s="344"/>
      <c r="D30" s="344"/>
      <c r="E30" s="344"/>
      <c r="F30" s="345"/>
      <c r="G30" s="292" t="str">
        <f t="shared" si="1"/>
        <v>SKHK_HOKEN_SHURUI_CD</v>
      </c>
      <c r="H30" s="293"/>
      <c r="I30" s="293"/>
      <c r="J30" s="294"/>
      <c r="K30" s="295" t="str">
        <f t="shared" si="2"/>
        <v>Char</v>
      </c>
      <c r="L30" s="296"/>
      <c r="M30" s="34">
        <f t="shared" si="3"/>
        <v>1</v>
      </c>
      <c r="N30" s="35" t="s">
        <v>6708</v>
      </c>
      <c r="O30" s="36"/>
      <c r="P30" s="36"/>
      <c r="Q30" s="285" t="s">
        <v>7044</v>
      </c>
      <c r="R30" s="286"/>
      <c r="S30" s="286"/>
      <c r="T30" s="286"/>
      <c r="U30" s="287"/>
      <c r="V30" s="37"/>
      <c r="W30" s="288"/>
      <c r="X30" s="288"/>
      <c r="Y30" s="288"/>
      <c r="Z30" s="288"/>
      <c r="AA30" s="288"/>
      <c r="AB30" s="288"/>
    </row>
    <row r="31" spans="1:28" s="386" customFormat="1">
      <c r="A31" s="387">
        <f t="shared" si="0"/>
        <v>27</v>
      </c>
      <c r="B31" s="427" t="s">
        <v>7016</v>
      </c>
      <c r="C31" s="428"/>
      <c r="D31" s="428"/>
      <c r="E31" s="428"/>
      <c r="F31" s="429"/>
      <c r="G31" s="373" t="str">
        <f t="shared" si="1"/>
        <v>SOGO_KAIZE_KOKA</v>
      </c>
      <c r="H31" s="374"/>
      <c r="I31" s="374"/>
      <c r="J31" s="375"/>
      <c r="K31" s="376" t="str">
        <f t="shared" ref="K31:K40" si="5">IF(ISNA(VLOOKUP($B31,単語,4,FALSE)),"",(VLOOKUP($B31,単語,4,FALSE)))</f>
        <v>Number</v>
      </c>
      <c r="L31" s="377"/>
      <c r="M31" s="378">
        <f t="shared" si="3"/>
        <v>11</v>
      </c>
      <c r="N31" s="379" t="str">
        <f t="shared" si="4"/>
        <v/>
      </c>
      <c r="O31" s="380"/>
      <c r="P31" s="380"/>
      <c r="Q31" s="381" t="s">
        <v>7050</v>
      </c>
      <c r="R31" s="382"/>
      <c r="S31" s="382"/>
      <c r="T31" s="382"/>
      <c r="U31" s="383"/>
      <c r="V31" s="384"/>
      <c r="W31" s="430"/>
      <c r="X31" s="431"/>
      <c r="Y31" s="431"/>
      <c r="Z31" s="431"/>
      <c r="AA31" s="431"/>
      <c r="AB31" s="432"/>
    </row>
    <row r="32" spans="1:28" s="386" customFormat="1">
      <c r="A32" s="369">
        <f t="shared" si="0"/>
        <v>28</v>
      </c>
      <c r="B32" s="427" t="s">
        <v>6648</v>
      </c>
      <c r="C32" s="428"/>
      <c r="D32" s="428"/>
      <c r="E32" s="428"/>
      <c r="F32" s="429"/>
      <c r="G32" s="373" t="str">
        <f t="shared" si="1"/>
        <v>SEHOGO_CASHF_KAIZGAKU</v>
      </c>
      <c r="H32" s="374"/>
      <c r="I32" s="374"/>
      <c r="J32" s="375"/>
      <c r="K32" s="376" t="str">
        <f t="shared" si="5"/>
        <v>Number</v>
      </c>
      <c r="L32" s="377"/>
      <c r="M32" s="378">
        <f t="shared" si="3"/>
        <v>11</v>
      </c>
      <c r="N32" s="379" t="str">
        <f t="shared" si="4"/>
        <v/>
      </c>
      <c r="O32" s="380"/>
      <c r="P32" s="380"/>
      <c r="Q32" s="381" t="s">
        <v>7052</v>
      </c>
      <c r="R32" s="382"/>
      <c r="S32" s="382"/>
      <c r="T32" s="382"/>
      <c r="U32" s="383"/>
      <c r="V32" s="384"/>
      <c r="W32" s="430"/>
      <c r="X32" s="431"/>
      <c r="Y32" s="431"/>
      <c r="Z32" s="431"/>
      <c r="AA32" s="431"/>
      <c r="AB32" s="432"/>
    </row>
    <row r="33" spans="1:28" s="386" customFormat="1">
      <c r="A33" s="387">
        <f t="shared" si="0"/>
        <v>29</v>
      </c>
      <c r="B33" s="427" t="s">
        <v>6716</v>
      </c>
      <c r="C33" s="428"/>
      <c r="D33" s="428"/>
      <c r="E33" s="428"/>
      <c r="F33" s="429"/>
      <c r="G33" s="373" t="str">
        <f t="shared" si="1"/>
        <v>SEHOGO_SYUSI</v>
      </c>
      <c r="H33" s="374"/>
      <c r="I33" s="374"/>
      <c r="J33" s="375"/>
      <c r="K33" s="376" t="str">
        <f t="shared" si="5"/>
        <v>Number</v>
      </c>
      <c r="L33" s="377"/>
      <c r="M33" s="378">
        <f t="shared" si="3"/>
        <v>11</v>
      </c>
      <c r="N33" s="379" t="str">
        <f t="shared" si="4"/>
        <v/>
      </c>
      <c r="O33" s="380"/>
      <c r="P33" s="380"/>
      <c r="Q33" s="381" t="s">
        <v>7050</v>
      </c>
      <c r="R33" s="382"/>
      <c r="S33" s="382"/>
      <c r="T33" s="382"/>
      <c r="U33" s="383"/>
      <c r="V33" s="384"/>
      <c r="W33" s="430"/>
      <c r="X33" s="431"/>
      <c r="Y33" s="431"/>
      <c r="Z33" s="431"/>
      <c r="AA33" s="431"/>
      <c r="AB33" s="432"/>
    </row>
    <row r="34" spans="1:28" s="386" customFormat="1">
      <c r="A34" s="387">
        <f t="shared" si="0"/>
        <v>30</v>
      </c>
      <c r="B34" s="427" t="s">
        <v>6714</v>
      </c>
      <c r="C34" s="428"/>
      <c r="D34" s="428"/>
      <c r="E34" s="428"/>
      <c r="F34" s="429"/>
      <c r="G34" s="373" t="str">
        <f t="shared" si="1"/>
        <v>SEHOGO_HOJZEI_FUTAGEN</v>
      </c>
      <c r="H34" s="374"/>
      <c r="I34" s="374"/>
      <c r="J34" s="375"/>
      <c r="K34" s="376" t="str">
        <f t="shared" si="5"/>
        <v>Number</v>
      </c>
      <c r="L34" s="377"/>
      <c r="M34" s="378">
        <f t="shared" si="3"/>
        <v>11</v>
      </c>
      <c r="N34" s="379" t="str">
        <f t="shared" si="4"/>
        <v/>
      </c>
      <c r="O34" s="380"/>
      <c r="P34" s="380"/>
      <c r="Q34" s="381" t="s">
        <v>7052</v>
      </c>
      <c r="R34" s="382"/>
      <c r="S34" s="382"/>
      <c r="T34" s="382"/>
      <c r="U34" s="383"/>
      <c r="V34" s="384"/>
      <c r="W34" s="430"/>
      <c r="X34" s="431"/>
      <c r="Y34" s="431"/>
      <c r="Z34" s="431"/>
      <c r="AA34" s="431"/>
      <c r="AB34" s="432"/>
    </row>
    <row r="35" spans="1:28" s="386" customFormat="1">
      <c r="A35" s="387">
        <f t="shared" si="0"/>
        <v>31</v>
      </c>
      <c r="B35" s="427" t="s">
        <v>7004</v>
      </c>
      <c r="C35" s="428"/>
      <c r="D35" s="428"/>
      <c r="E35" s="428"/>
      <c r="F35" s="429"/>
      <c r="G35" s="373" t="str">
        <f t="shared" si="1"/>
        <v>ZTRRNKNJ_AGE</v>
      </c>
      <c r="H35" s="374"/>
      <c r="I35" s="374"/>
      <c r="J35" s="375"/>
      <c r="K35" s="376" t="s">
        <v>7042</v>
      </c>
      <c r="L35" s="377"/>
      <c r="M35" s="378">
        <v>1024</v>
      </c>
      <c r="N35" s="379" t="str">
        <f t="shared" si="4"/>
        <v/>
      </c>
      <c r="O35" s="380"/>
      <c r="P35" s="380"/>
      <c r="Q35" s="381" t="s">
        <v>7050</v>
      </c>
      <c r="R35" s="382"/>
      <c r="S35" s="382"/>
      <c r="T35" s="382"/>
      <c r="U35" s="383"/>
      <c r="V35" s="384"/>
      <c r="W35" s="430"/>
      <c r="X35" s="431"/>
      <c r="Y35" s="431"/>
      <c r="Z35" s="431"/>
      <c r="AA35" s="431"/>
      <c r="AB35" s="432"/>
    </row>
    <row r="36" spans="1:28" s="388" customFormat="1">
      <c r="A36" s="387">
        <f t="shared" si="0"/>
        <v>32</v>
      </c>
      <c r="B36" s="427" t="s">
        <v>7006</v>
      </c>
      <c r="C36" s="428"/>
      <c r="D36" s="428"/>
      <c r="E36" s="428"/>
      <c r="F36" s="429"/>
      <c r="G36" s="373" t="str">
        <f t="shared" si="1"/>
        <v>ZTRRNKNJ_SEIREKINEN</v>
      </c>
      <c r="H36" s="374"/>
      <c r="I36" s="374"/>
      <c r="J36" s="375"/>
      <c r="K36" s="376" t="s">
        <v>7043</v>
      </c>
      <c r="L36" s="377"/>
      <c r="M36" s="378">
        <v>1024</v>
      </c>
      <c r="N36" s="379" t="str">
        <f t="shared" si="4"/>
        <v/>
      </c>
      <c r="O36" s="380"/>
      <c r="P36" s="380"/>
      <c r="Q36" s="381" t="s">
        <v>7052</v>
      </c>
      <c r="R36" s="382"/>
      <c r="S36" s="382"/>
      <c r="T36" s="382"/>
      <c r="U36" s="383"/>
      <c r="V36" s="384"/>
      <c r="W36" s="430"/>
      <c r="X36" s="431"/>
      <c r="Y36" s="431"/>
      <c r="Z36" s="431"/>
      <c r="AA36" s="431"/>
      <c r="AB36" s="432"/>
    </row>
    <row r="37" spans="1:28" s="386" customFormat="1">
      <c r="A37" s="387">
        <f t="shared" si="0"/>
        <v>33</v>
      </c>
      <c r="B37" s="427" t="s">
        <v>7008</v>
      </c>
      <c r="C37" s="428"/>
      <c r="D37" s="428"/>
      <c r="E37" s="428"/>
      <c r="F37" s="429"/>
      <c r="G37" s="373" t="str">
        <f t="shared" si="1"/>
        <v>ZTRRNKNJ_SAGEMAE_GAKU</v>
      </c>
      <c r="H37" s="374"/>
      <c r="I37" s="374"/>
      <c r="J37" s="375"/>
      <c r="K37" s="376" t="s">
        <v>7042</v>
      </c>
      <c r="L37" s="377"/>
      <c r="M37" s="378">
        <v>1024</v>
      </c>
      <c r="N37" s="379" t="str">
        <f t="shared" si="4"/>
        <v/>
      </c>
      <c r="O37" s="380"/>
      <c r="P37" s="380"/>
      <c r="Q37" s="381" t="s">
        <v>7050</v>
      </c>
      <c r="R37" s="382"/>
      <c r="S37" s="382"/>
      <c r="T37" s="382"/>
      <c r="U37" s="383"/>
      <c r="V37" s="384"/>
      <c r="W37" s="385"/>
      <c r="X37" s="385"/>
      <c r="Y37" s="385"/>
      <c r="Z37" s="385"/>
      <c r="AA37" s="385"/>
      <c r="AB37" s="385"/>
    </row>
    <row r="38" spans="1:28" s="388" customFormat="1">
      <c r="A38" s="369">
        <f t="shared" si="0"/>
        <v>34</v>
      </c>
      <c r="B38" s="427" t="s">
        <v>7010</v>
      </c>
      <c r="C38" s="428"/>
      <c r="D38" s="428"/>
      <c r="E38" s="428"/>
      <c r="F38" s="429"/>
      <c r="G38" s="373" t="str">
        <f t="shared" si="1"/>
        <v>ZTRRNKNJ_SAGEGO_GAKU</v>
      </c>
      <c r="H38" s="374"/>
      <c r="I38" s="374"/>
      <c r="J38" s="375"/>
      <c r="K38" s="376" t="s">
        <v>7042</v>
      </c>
      <c r="L38" s="377"/>
      <c r="M38" s="378">
        <v>1024</v>
      </c>
      <c r="N38" s="379" t="str">
        <f t="shared" si="4"/>
        <v/>
      </c>
      <c r="O38" s="380"/>
      <c r="P38" s="380"/>
      <c r="Q38" s="381" t="s">
        <v>7052</v>
      </c>
      <c r="R38" s="382"/>
      <c r="S38" s="382"/>
      <c r="T38" s="382"/>
      <c r="U38" s="383"/>
      <c r="V38" s="384"/>
      <c r="W38" s="385"/>
      <c r="X38" s="385"/>
      <c r="Y38" s="385"/>
      <c r="Z38" s="385"/>
      <c r="AA38" s="385"/>
      <c r="AB38" s="385"/>
    </row>
    <row r="39" spans="1:28">
      <c r="A39" s="15">
        <f t="shared" si="0"/>
        <v>35</v>
      </c>
      <c r="B39" s="340" t="s">
        <v>6916</v>
      </c>
      <c r="C39" s="341"/>
      <c r="D39" s="341"/>
      <c r="E39" s="341"/>
      <c r="F39" s="342"/>
      <c r="G39" s="300" t="str">
        <f t="shared" si="1"/>
        <v>SYSTEM_CREATE_DATE</v>
      </c>
      <c r="H39" s="301"/>
      <c r="I39" s="301"/>
      <c r="J39" s="302"/>
      <c r="K39" s="303" t="str">
        <f t="shared" si="5"/>
        <v>Date</v>
      </c>
      <c r="L39" s="304"/>
      <c r="M39" s="38" t="str">
        <f t="shared" si="3"/>
        <v>　</v>
      </c>
      <c r="N39" s="39" t="str">
        <f t="shared" si="4"/>
        <v/>
      </c>
      <c r="O39" s="40" t="s">
        <v>66</v>
      </c>
      <c r="P39" s="40"/>
      <c r="Q39" s="337"/>
      <c r="R39" s="338"/>
      <c r="S39" s="338"/>
      <c r="T39" s="338"/>
      <c r="U39" s="339"/>
      <c r="V39" s="41" t="s">
        <v>6696</v>
      </c>
      <c r="W39" s="347"/>
      <c r="X39" s="348"/>
      <c r="Y39" s="348"/>
      <c r="Z39" s="348"/>
      <c r="AA39" s="348"/>
      <c r="AB39" s="349"/>
    </row>
    <row r="40" spans="1:28">
      <c r="A40" s="8">
        <f t="shared" si="0"/>
        <v>36</v>
      </c>
      <c r="B40" s="343" t="s">
        <v>6990</v>
      </c>
      <c r="C40" s="344"/>
      <c r="D40" s="344"/>
      <c r="E40" s="344"/>
      <c r="F40" s="345"/>
      <c r="G40" s="292" t="str">
        <f t="shared" si="1"/>
        <v>SYSTEM_UPDATE_DATE</v>
      </c>
      <c r="H40" s="293"/>
      <c r="I40" s="293"/>
      <c r="J40" s="294"/>
      <c r="K40" s="295" t="str">
        <f t="shared" si="5"/>
        <v>Date</v>
      </c>
      <c r="L40" s="346"/>
      <c r="M40" s="34" t="str">
        <f t="shared" si="3"/>
        <v>　</v>
      </c>
      <c r="N40" s="35" t="str">
        <f t="shared" si="4"/>
        <v/>
      </c>
      <c r="O40" s="36" t="s">
        <v>66</v>
      </c>
      <c r="P40" s="36"/>
      <c r="Q40" s="350"/>
      <c r="R40" s="351"/>
      <c r="S40" s="351"/>
      <c r="T40" s="351"/>
      <c r="U40" s="352"/>
      <c r="V40" s="37" t="s">
        <v>6988</v>
      </c>
      <c r="W40" s="353"/>
      <c r="X40" s="354"/>
      <c r="Y40" s="354"/>
      <c r="Z40" s="354"/>
      <c r="AA40" s="354"/>
      <c r="AB40" s="355"/>
    </row>
  </sheetData>
  <mergeCells count="198">
    <mergeCell ref="B40:F40"/>
    <mergeCell ref="G40:J40"/>
    <mergeCell ref="K40:L40"/>
    <mergeCell ref="Q40:U40"/>
    <mergeCell ref="W40:AB40"/>
    <mergeCell ref="G29:J29"/>
    <mergeCell ref="B39:F39"/>
    <mergeCell ref="G39:J39"/>
    <mergeCell ref="K39:L39"/>
    <mergeCell ref="Q39:U39"/>
    <mergeCell ref="W39:AB39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K29:L29"/>
    <mergeCell ref="Q29:U29"/>
    <mergeCell ref="W29:AB29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</mergeCells>
  <phoneticPr fontId="4"/>
  <conditionalFormatting sqref="G20:J24 G27:J29">
    <cfRule type="expression" dxfId="113" priority="75" stopIfTrue="1">
      <formula>LEN(G20)&gt;30</formula>
    </cfRule>
  </conditionalFormatting>
  <conditionalFormatting sqref="G5:J5">
    <cfRule type="expression" dxfId="112" priority="74" stopIfTrue="1">
      <formula>LEN(G5)&gt;30</formula>
    </cfRule>
  </conditionalFormatting>
  <conditionalFormatting sqref="G7:J7">
    <cfRule type="expression" dxfId="111" priority="73" stopIfTrue="1">
      <formula>LEN(G7)&gt;30</formula>
    </cfRule>
  </conditionalFormatting>
  <conditionalFormatting sqref="G8:J11">
    <cfRule type="expression" dxfId="110" priority="72" stopIfTrue="1">
      <formula>LEN(G8)&gt;30</formula>
    </cfRule>
  </conditionalFormatting>
  <conditionalFormatting sqref="G6:J6">
    <cfRule type="expression" dxfId="109" priority="71" stopIfTrue="1">
      <formula>LEN(G6)&gt;30</formula>
    </cfRule>
  </conditionalFormatting>
  <conditionalFormatting sqref="G25:J26">
    <cfRule type="expression" dxfId="108" priority="70" stopIfTrue="1">
      <formula>LEN(G25)&gt;30</formula>
    </cfRule>
  </conditionalFormatting>
  <conditionalFormatting sqref="G30:J30">
    <cfRule type="expression" dxfId="107" priority="21" stopIfTrue="1">
      <formula>LEN(G30)&gt;30</formula>
    </cfRule>
  </conditionalFormatting>
  <conditionalFormatting sqref="G12:J12">
    <cfRule type="expression" dxfId="106" priority="17" stopIfTrue="1">
      <formula>LEN(G12)&gt;30</formula>
    </cfRule>
  </conditionalFormatting>
  <conditionalFormatting sqref="G13:J13">
    <cfRule type="expression" dxfId="105" priority="15" stopIfTrue="1">
      <formula>LEN(G13)&gt;30</formula>
    </cfRule>
  </conditionalFormatting>
  <conditionalFormatting sqref="G14:J19">
    <cfRule type="expression" dxfId="104" priority="14" stopIfTrue="1">
      <formula>LEN(G14)&gt;30</formula>
    </cfRule>
  </conditionalFormatting>
  <conditionalFormatting sqref="G31:J32 G35:J37">
    <cfRule type="expression" dxfId="103" priority="4" stopIfTrue="1">
      <formula>LEN(G31)&gt;30</formula>
    </cfRule>
  </conditionalFormatting>
  <conditionalFormatting sqref="G33:J34">
    <cfRule type="expression" dxfId="102" priority="3" stopIfTrue="1">
      <formula>LEN(G33)&gt;30</formula>
    </cfRule>
  </conditionalFormatting>
  <conditionalFormatting sqref="G38:J38">
    <cfRule type="expression" dxfId="101" priority="2" stopIfTrue="1">
      <formula>LEN(G38)&gt;30</formula>
    </cfRule>
  </conditionalFormatting>
  <conditionalFormatting sqref="G39:J40">
    <cfRule type="expression" dxfId="100" priority="1" stopIfTrue="1">
      <formula>LEN(G39)&gt;30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69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9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106</v>
      </c>
      <c r="J2" s="325"/>
      <c r="K2" s="325"/>
      <c r="L2" s="325"/>
      <c r="M2" s="325"/>
      <c r="N2" s="325"/>
      <c r="O2" s="325"/>
      <c r="P2" s="325" t="e">
        <f>VLOOKUP(I2,単語,2,FALSE)</f>
        <v>#N/A</v>
      </c>
      <c r="Q2" s="325"/>
      <c r="R2" s="325"/>
      <c r="S2" s="325"/>
      <c r="T2" s="325"/>
      <c r="U2" s="325"/>
      <c r="V2" s="3" t="e">
        <f>VLOOKUP(I2,テーブル,5,FALSE)</f>
        <v>#N/A</v>
      </c>
      <c r="W2" s="327" t="s">
        <v>25</v>
      </c>
      <c r="X2" s="325"/>
      <c r="Y2" s="325"/>
      <c r="Z2" s="325"/>
      <c r="AA2" s="329">
        <v>41584</v>
      </c>
      <c r="AB2" s="325"/>
    </row>
    <row r="3" spans="1:29" ht="30" customHeight="1">
      <c r="A3" s="6" t="s">
        <v>6</v>
      </c>
      <c r="B3" s="330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9" ht="14.25" thickBot="1">
      <c r="A4" s="70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0" t="s">
        <v>11</v>
      </c>
      <c r="N4" s="70" t="s">
        <v>12</v>
      </c>
      <c r="O4" s="70" t="s">
        <v>13</v>
      </c>
      <c r="P4" s="70" t="s">
        <v>14</v>
      </c>
      <c r="Q4" s="313" t="s">
        <v>15</v>
      </c>
      <c r="R4" s="313"/>
      <c r="S4" s="313"/>
      <c r="T4" s="313"/>
      <c r="U4" s="313"/>
      <c r="V4" s="70" t="s">
        <v>16</v>
      </c>
      <c r="W4" s="313" t="s">
        <v>17</v>
      </c>
      <c r="X4" s="313"/>
      <c r="Y4" s="313"/>
      <c r="Z4" s="313"/>
      <c r="AA4" s="313"/>
      <c r="AB4" s="313"/>
    </row>
    <row r="5" spans="1:29" s="2" customFormat="1" ht="14.25" thickTop="1">
      <c r="A5" s="9">
        <f t="shared" ref="A5:A30" si="0">ROW()-4</f>
        <v>1</v>
      </c>
      <c r="B5" s="317" t="s">
        <v>45</v>
      </c>
      <c r="C5" s="318"/>
      <c r="D5" s="318"/>
      <c r="E5" s="318"/>
      <c r="F5" s="319"/>
      <c r="G5" s="340" t="str">
        <f t="shared" ref="G5:G30" si="1">IF(ISNA(VLOOKUP($B5,単語,2,FALSE)),"",(VLOOKUP($B5,単語,2,FALSE)))</f>
        <v/>
      </c>
      <c r="H5" s="341"/>
      <c r="I5" s="341"/>
      <c r="J5" s="342"/>
      <c r="K5" s="367" t="str">
        <f t="shared" ref="K5:K30" si="2">IF(ISNA(VLOOKUP($B5,単語,4,FALSE)),"",(VLOOKUP($B5,単語,4,FALSE)))</f>
        <v/>
      </c>
      <c r="L5" s="368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9">
      <c r="A6" s="8">
        <f t="shared" si="0"/>
        <v>2</v>
      </c>
      <c r="B6" s="289">
        <f>AC6</f>
        <v>0</v>
      </c>
      <c r="C6" s="290"/>
      <c r="D6" s="290"/>
      <c r="E6" s="290"/>
      <c r="F6" s="291"/>
      <c r="G6" s="359" t="str">
        <f t="shared" si="1"/>
        <v/>
      </c>
      <c r="H6" s="360"/>
      <c r="I6" s="360"/>
      <c r="J6" s="361"/>
      <c r="K6" s="362" t="str">
        <f t="shared" si="2"/>
        <v/>
      </c>
      <c r="L6" s="363"/>
      <c r="M6" s="34" t="str">
        <f t="shared" si="3"/>
        <v/>
      </c>
      <c r="N6" s="35" t="str">
        <f t="shared" si="4"/>
        <v/>
      </c>
      <c r="O6" s="36"/>
      <c r="P6" s="36"/>
      <c r="Q6" s="285"/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9">
      <c r="A7" s="4">
        <f t="shared" si="0"/>
        <v>3</v>
      </c>
      <c r="B7" s="297">
        <f t="shared" ref="B7:B28" si="5">AC7</f>
        <v>0</v>
      </c>
      <c r="C7" s="298"/>
      <c r="D7" s="298"/>
      <c r="E7" s="298"/>
      <c r="F7" s="299"/>
      <c r="G7" s="340" t="str">
        <f t="shared" si="1"/>
        <v/>
      </c>
      <c r="H7" s="341"/>
      <c r="I7" s="341"/>
      <c r="J7" s="342"/>
      <c r="K7" s="364" t="str">
        <f t="shared" si="2"/>
        <v/>
      </c>
      <c r="L7" s="365"/>
      <c r="M7" s="38" t="str">
        <f t="shared" si="3"/>
        <v/>
      </c>
      <c r="N7" s="39" t="str">
        <f t="shared" si="4"/>
        <v/>
      </c>
      <c r="O7" s="40"/>
      <c r="P7" s="40"/>
      <c r="Q7" s="305"/>
      <c r="R7" s="306"/>
      <c r="S7" s="306"/>
      <c r="T7" s="306"/>
      <c r="U7" s="307"/>
      <c r="V7" s="41"/>
      <c r="W7" s="310"/>
      <c r="X7" s="310"/>
      <c r="Y7" s="310"/>
      <c r="Z7" s="310"/>
      <c r="AA7" s="310"/>
      <c r="AB7" s="310"/>
    </row>
    <row r="8" spans="1:29" s="2" customFormat="1">
      <c r="A8" s="14">
        <f t="shared" si="0"/>
        <v>4</v>
      </c>
      <c r="B8" s="289">
        <f t="shared" si="5"/>
        <v>0</v>
      </c>
      <c r="C8" s="290"/>
      <c r="D8" s="290"/>
      <c r="E8" s="290"/>
      <c r="F8" s="291"/>
      <c r="G8" s="359" t="str">
        <f t="shared" si="1"/>
        <v/>
      </c>
      <c r="H8" s="360"/>
      <c r="I8" s="360"/>
      <c r="J8" s="361"/>
      <c r="K8" s="362" t="str">
        <f t="shared" si="2"/>
        <v/>
      </c>
      <c r="L8" s="363"/>
      <c r="M8" s="34" t="str">
        <f t="shared" si="3"/>
        <v/>
      </c>
      <c r="N8" s="35" t="str">
        <f t="shared" si="4"/>
        <v/>
      </c>
      <c r="O8" s="36"/>
      <c r="P8" s="36"/>
      <c r="Q8" s="285"/>
      <c r="R8" s="286"/>
      <c r="S8" s="286"/>
      <c r="T8" s="286"/>
      <c r="U8" s="287"/>
      <c r="V8" s="37"/>
      <c r="W8" s="288"/>
      <c r="X8" s="288"/>
      <c r="Y8" s="288"/>
      <c r="Z8" s="288"/>
      <c r="AA8" s="288"/>
      <c r="AB8" s="288"/>
    </row>
    <row r="9" spans="1:29">
      <c r="A9" s="4">
        <f t="shared" si="0"/>
        <v>5</v>
      </c>
      <c r="B9" s="297">
        <f t="shared" si="5"/>
        <v>0</v>
      </c>
      <c r="C9" s="298"/>
      <c r="D9" s="298"/>
      <c r="E9" s="298"/>
      <c r="F9" s="299"/>
      <c r="G9" s="340" t="str">
        <f t="shared" si="1"/>
        <v/>
      </c>
      <c r="H9" s="341"/>
      <c r="I9" s="341"/>
      <c r="J9" s="342"/>
      <c r="K9" s="364" t="str">
        <f t="shared" si="2"/>
        <v/>
      </c>
      <c r="L9" s="365"/>
      <c r="M9" s="38" t="str">
        <f t="shared" si="3"/>
        <v/>
      </c>
      <c r="N9" s="39" t="str">
        <f t="shared" si="4"/>
        <v/>
      </c>
      <c r="O9" s="40"/>
      <c r="P9" s="40"/>
      <c r="Q9" s="305"/>
      <c r="R9" s="306"/>
      <c r="S9" s="306"/>
      <c r="T9" s="306"/>
      <c r="U9" s="307"/>
      <c r="V9" s="41"/>
      <c r="W9" s="310"/>
      <c r="X9" s="310"/>
      <c r="Y9" s="310"/>
      <c r="Z9" s="310"/>
      <c r="AA9" s="310"/>
      <c r="AB9" s="310"/>
      <c r="AC9" s="73"/>
    </row>
    <row r="10" spans="1:29" s="2" customFormat="1">
      <c r="A10" s="14">
        <f t="shared" si="0"/>
        <v>6</v>
      </c>
      <c r="B10" s="289">
        <f t="shared" si="5"/>
        <v>0</v>
      </c>
      <c r="C10" s="290"/>
      <c r="D10" s="290"/>
      <c r="E10" s="290"/>
      <c r="F10" s="291"/>
      <c r="G10" s="359" t="str">
        <f t="shared" si="1"/>
        <v/>
      </c>
      <c r="H10" s="360"/>
      <c r="I10" s="360"/>
      <c r="J10" s="361"/>
      <c r="K10" s="362" t="str">
        <f t="shared" si="2"/>
        <v/>
      </c>
      <c r="L10" s="363"/>
      <c r="M10" s="34" t="str">
        <f t="shared" si="3"/>
        <v/>
      </c>
      <c r="N10" s="35" t="str">
        <f t="shared" si="4"/>
        <v/>
      </c>
      <c r="O10" s="36"/>
      <c r="P10" s="36"/>
      <c r="Q10" s="285"/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  <c r="AC10" s="73"/>
    </row>
    <row r="11" spans="1:29" s="2" customFormat="1">
      <c r="A11" s="15">
        <f t="shared" si="0"/>
        <v>7</v>
      </c>
      <c r="B11" s="297">
        <f t="shared" si="5"/>
        <v>0</v>
      </c>
      <c r="C11" s="298"/>
      <c r="D11" s="298"/>
      <c r="E11" s="298"/>
      <c r="F11" s="299"/>
      <c r="G11" s="340" t="str">
        <f t="shared" si="1"/>
        <v/>
      </c>
      <c r="H11" s="341"/>
      <c r="I11" s="341"/>
      <c r="J11" s="342"/>
      <c r="K11" s="364" t="str">
        <f t="shared" si="2"/>
        <v/>
      </c>
      <c r="L11" s="365"/>
      <c r="M11" s="38" t="str">
        <f t="shared" si="3"/>
        <v/>
      </c>
      <c r="N11" s="39" t="str">
        <f t="shared" si="4"/>
        <v/>
      </c>
      <c r="O11" s="40"/>
      <c r="P11" s="40"/>
      <c r="Q11" s="305"/>
      <c r="R11" s="306"/>
      <c r="S11" s="306"/>
      <c r="T11" s="306"/>
      <c r="U11" s="307"/>
      <c r="V11" s="41"/>
      <c r="W11" s="310"/>
      <c r="X11" s="310"/>
      <c r="Y11" s="310"/>
      <c r="Z11" s="310"/>
      <c r="AA11" s="310"/>
      <c r="AB11" s="310"/>
      <c r="AC11" s="73"/>
    </row>
    <row r="12" spans="1:29">
      <c r="A12" s="8">
        <f t="shared" si="0"/>
        <v>8</v>
      </c>
      <c r="B12" s="289">
        <f t="shared" si="5"/>
        <v>0</v>
      </c>
      <c r="C12" s="290"/>
      <c r="D12" s="290"/>
      <c r="E12" s="290"/>
      <c r="F12" s="291"/>
      <c r="G12" s="359" t="str">
        <f t="shared" si="1"/>
        <v/>
      </c>
      <c r="H12" s="360"/>
      <c r="I12" s="360"/>
      <c r="J12" s="361"/>
      <c r="K12" s="362" t="str">
        <f t="shared" si="2"/>
        <v/>
      </c>
      <c r="L12" s="363"/>
      <c r="M12" s="34" t="str">
        <f t="shared" si="3"/>
        <v/>
      </c>
      <c r="N12" s="35" t="str">
        <f t="shared" si="4"/>
        <v/>
      </c>
      <c r="O12" s="36"/>
      <c r="P12" s="36"/>
      <c r="Q12" s="285"/>
      <c r="R12" s="286"/>
      <c r="S12" s="286"/>
      <c r="T12" s="286"/>
      <c r="U12" s="287"/>
      <c r="V12" s="37"/>
      <c r="W12" s="288"/>
      <c r="X12" s="288"/>
      <c r="Y12" s="288"/>
      <c r="Z12" s="288"/>
      <c r="AA12" s="288"/>
      <c r="AB12" s="288"/>
      <c r="AC12" s="73"/>
    </row>
    <row r="13" spans="1:29" s="2" customFormat="1" ht="13.5" customHeight="1">
      <c r="A13" s="15">
        <f t="shared" si="0"/>
        <v>9</v>
      </c>
      <c r="B13" s="297">
        <f t="shared" si="5"/>
        <v>0</v>
      </c>
      <c r="C13" s="298"/>
      <c r="D13" s="298"/>
      <c r="E13" s="298"/>
      <c r="F13" s="299"/>
      <c r="G13" s="340" t="str">
        <f t="shared" si="1"/>
        <v/>
      </c>
      <c r="H13" s="341"/>
      <c r="I13" s="341"/>
      <c r="J13" s="342"/>
      <c r="K13" s="364" t="str">
        <f t="shared" si="2"/>
        <v/>
      </c>
      <c r="L13" s="365"/>
      <c r="M13" s="38" t="str">
        <f t="shared" si="3"/>
        <v/>
      </c>
      <c r="N13" s="39" t="str">
        <f t="shared" si="4"/>
        <v/>
      </c>
      <c r="O13" s="40"/>
      <c r="P13" s="40"/>
      <c r="Q13" s="305"/>
      <c r="R13" s="306"/>
      <c r="S13" s="306"/>
      <c r="T13" s="306"/>
      <c r="U13" s="307"/>
      <c r="V13" s="41"/>
      <c r="W13" s="310"/>
      <c r="X13" s="310"/>
      <c r="Y13" s="310"/>
      <c r="Z13" s="310"/>
      <c r="AA13" s="310"/>
      <c r="AB13" s="310"/>
      <c r="AC13" s="73"/>
    </row>
    <row r="14" spans="1:29" s="2" customFormat="1" ht="13.5" customHeight="1">
      <c r="A14" s="14">
        <f t="shared" si="0"/>
        <v>10</v>
      </c>
      <c r="B14" s="289">
        <f t="shared" si="5"/>
        <v>0</v>
      </c>
      <c r="C14" s="290"/>
      <c r="D14" s="290"/>
      <c r="E14" s="290"/>
      <c r="F14" s="291"/>
      <c r="G14" s="359" t="str">
        <f t="shared" si="1"/>
        <v/>
      </c>
      <c r="H14" s="360"/>
      <c r="I14" s="360"/>
      <c r="J14" s="361"/>
      <c r="K14" s="362" t="str">
        <f t="shared" si="2"/>
        <v/>
      </c>
      <c r="L14" s="363"/>
      <c r="M14" s="34" t="str">
        <f t="shared" si="3"/>
        <v/>
      </c>
      <c r="N14" s="35" t="str">
        <f t="shared" si="4"/>
        <v/>
      </c>
      <c r="O14" s="36"/>
      <c r="P14" s="36"/>
      <c r="Q14" s="285"/>
      <c r="R14" s="286"/>
      <c r="S14" s="286"/>
      <c r="T14" s="286"/>
      <c r="U14" s="287"/>
      <c r="V14" s="37"/>
      <c r="W14" s="288"/>
      <c r="X14" s="288"/>
      <c r="Y14" s="288"/>
      <c r="Z14" s="288"/>
      <c r="AA14" s="288"/>
      <c r="AB14" s="288"/>
      <c r="AC14" s="74"/>
    </row>
    <row r="15" spans="1:29" s="2" customFormat="1" ht="13.5" customHeight="1">
      <c r="A15" s="15">
        <f t="shared" si="0"/>
        <v>11</v>
      </c>
      <c r="B15" s="297">
        <f t="shared" si="5"/>
        <v>0</v>
      </c>
      <c r="C15" s="298"/>
      <c r="D15" s="298"/>
      <c r="E15" s="298"/>
      <c r="F15" s="299"/>
      <c r="G15" s="340" t="str">
        <f t="shared" si="1"/>
        <v/>
      </c>
      <c r="H15" s="341"/>
      <c r="I15" s="341"/>
      <c r="J15" s="342"/>
      <c r="K15" s="364" t="str">
        <f t="shared" si="2"/>
        <v/>
      </c>
      <c r="L15" s="365"/>
      <c r="M15" s="38" t="str">
        <f t="shared" si="3"/>
        <v/>
      </c>
      <c r="N15" s="39" t="str">
        <f t="shared" si="4"/>
        <v/>
      </c>
      <c r="O15" s="40"/>
      <c r="P15" s="40"/>
      <c r="Q15" s="305"/>
      <c r="R15" s="306"/>
      <c r="S15" s="306"/>
      <c r="T15" s="306"/>
      <c r="U15" s="307"/>
      <c r="V15" s="41"/>
      <c r="W15" s="310"/>
      <c r="X15" s="310"/>
      <c r="Y15" s="310"/>
      <c r="Z15" s="310"/>
      <c r="AA15" s="310"/>
      <c r="AB15" s="310"/>
      <c r="AC15" s="73"/>
    </row>
    <row r="16" spans="1:29">
      <c r="A16" s="8">
        <f t="shared" si="0"/>
        <v>12</v>
      </c>
      <c r="B16" s="289">
        <f t="shared" si="5"/>
        <v>0</v>
      </c>
      <c r="C16" s="290"/>
      <c r="D16" s="290"/>
      <c r="E16" s="290"/>
      <c r="F16" s="291"/>
      <c r="G16" s="359" t="str">
        <f t="shared" si="1"/>
        <v/>
      </c>
      <c r="H16" s="360"/>
      <c r="I16" s="360"/>
      <c r="J16" s="361"/>
      <c r="K16" s="362" t="str">
        <f t="shared" si="2"/>
        <v/>
      </c>
      <c r="L16" s="363"/>
      <c r="M16" s="34" t="str">
        <f t="shared" si="3"/>
        <v/>
      </c>
      <c r="N16" s="35" t="str">
        <f t="shared" si="4"/>
        <v/>
      </c>
      <c r="O16" s="36"/>
      <c r="P16" s="36"/>
      <c r="Q16" s="285"/>
      <c r="R16" s="286"/>
      <c r="S16" s="286"/>
      <c r="T16" s="286"/>
      <c r="U16" s="287"/>
      <c r="V16" s="37"/>
      <c r="W16" s="288"/>
      <c r="X16" s="288"/>
      <c r="Y16" s="288"/>
      <c r="Z16" s="288"/>
      <c r="AA16" s="288"/>
      <c r="AB16" s="288"/>
      <c r="AC16" s="73"/>
    </row>
    <row r="17" spans="1:29">
      <c r="A17" s="4">
        <f t="shared" si="0"/>
        <v>13</v>
      </c>
      <c r="B17" s="297">
        <f t="shared" si="5"/>
        <v>0</v>
      </c>
      <c r="C17" s="298"/>
      <c r="D17" s="298"/>
      <c r="E17" s="298"/>
      <c r="F17" s="299"/>
      <c r="G17" s="340" t="str">
        <f t="shared" si="1"/>
        <v/>
      </c>
      <c r="H17" s="341"/>
      <c r="I17" s="341"/>
      <c r="J17" s="342"/>
      <c r="K17" s="364" t="str">
        <f t="shared" si="2"/>
        <v/>
      </c>
      <c r="L17" s="365"/>
      <c r="M17" s="38" t="str">
        <f t="shared" si="3"/>
        <v/>
      </c>
      <c r="N17" s="39" t="str">
        <f t="shared" si="4"/>
        <v/>
      </c>
      <c r="O17" s="40"/>
      <c r="P17" s="40"/>
      <c r="Q17" s="305"/>
      <c r="R17" s="306"/>
      <c r="S17" s="306"/>
      <c r="T17" s="306"/>
      <c r="U17" s="307"/>
      <c r="V17" s="41"/>
      <c r="W17" s="310"/>
      <c r="X17" s="310"/>
      <c r="Y17" s="310"/>
      <c r="Z17" s="310"/>
      <c r="AA17" s="310"/>
      <c r="AB17" s="310"/>
      <c r="AC17" s="73"/>
    </row>
    <row r="18" spans="1:29" s="2" customFormat="1">
      <c r="A18" s="14">
        <f t="shared" si="0"/>
        <v>14</v>
      </c>
      <c r="B18" s="289">
        <f t="shared" si="5"/>
        <v>0</v>
      </c>
      <c r="C18" s="290"/>
      <c r="D18" s="290"/>
      <c r="E18" s="290"/>
      <c r="F18" s="291"/>
      <c r="G18" s="359" t="str">
        <f t="shared" si="1"/>
        <v/>
      </c>
      <c r="H18" s="360"/>
      <c r="I18" s="360"/>
      <c r="J18" s="361"/>
      <c r="K18" s="362" t="str">
        <f t="shared" si="2"/>
        <v/>
      </c>
      <c r="L18" s="363"/>
      <c r="M18" s="34" t="str">
        <f t="shared" si="3"/>
        <v/>
      </c>
      <c r="N18" s="35" t="str">
        <f t="shared" si="4"/>
        <v/>
      </c>
      <c r="O18" s="36"/>
      <c r="P18" s="36"/>
      <c r="Q18" s="285"/>
      <c r="R18" s="286"/>
      <c r="S18" s="286"/>
      <c r="T18" s="286"/>
      <c r="U18" s="287"/>
      <c r="V18" s="37"/>
      <c r="W18" s="288"/>
      <c r="X18" s="288"/>
      <c r="Y18" s="288"/>
      <c r="Z18" s="288"/>
      <c r="AA18" s="288"/>
      <c r="AB18" s="288"/>
      <c r="AC18" s="73"/>
    </row>
    <row r="19" spans="1:29">
      <c r="A19" s="4">
        <f t="shared" si="0"/>
        <v>15</v>
      </c>
      <c r="B19" s="297">
        <f t="shared" si="5"/>
        <v>0</v>
      </c>
      <c r="C19" s="298"/>
      <c r="D19" s="298"/>
      <c r="E19" s="298"/>
      <c r="F19" s="299"/>
      <c r="G19" s="340" t="str">
        <f t="shared" si="1"/>
        <v/>
      </c>
      <c r="H19" s="341"/>
      <c r="I19" s="341"/>
      <c r="J19" s="342"/>
      <c r="K19" s="364" t="str">
        <f t="shared" si="2"/>
        <v/>
      </c>
      <c r="L19" s="365"/>
      <c r="M19" s="38" t="str">
        <f t="shared" si="3"/>
        <v/>
      </c>
      <c r="N19" s="39" t="str">
        <f t="shared" si="4"/>
        <v/>
      </c>
      <c r="O19" s="40"/>
      <c r="P19" s="40"/>
      <c r="Q19" s="305"/>
      <c r="R19" s="306"/>
      <c r="S19" s="306"/>
      <c r="T19" s="306"/>
      <c r="U19" s="307"/>
      <c r="V19" s="41"/>
      <c r="W19" s="310"/>
      <c r="X19" s="310"/>
      <c r="Y19" s="310"/>
      <c r="Z19" s="310"/>
      <c r="AA19" s="310"/>
      <c r="AB19" s="310"/>
      <c r="AC19" s="73"/>
    </row>
    <row r="20" spans="1:29" s="2" customFormat="1">
      <c r="A20" s="14">
        <f t="shared" si="0"/>
        <v>16</v>
      </c>
      <c r="B20" s="289">
        <f t="shared" si="5"/>
        <v>0</v>
      </c>
      <c r="C20" s="290"/>
      <c r="D20" s="290"/>
      <c r="E20" s="290"/>
      <c r="F20" s="291"/>
      <c r="G20" s="359" t="str">
        <f t="shared" si="1"/>
        <v/>
      </c>
      <c r="H20" s="360"/>
      <c r="I20" s="360"/>
      <c r="J20" s="361"/>
      <c r="K20" s="362" t="str">
        <f t="shared" si="2"/>
        <v/>
      </c>
      <c r="L20" s="363"/>
      <c r="M20" s="34" t="str">
        <f t="shared" si="3"/>
        <v/>
      </c>
      <c r="N20" s="35" t="str">
        <f t="shared" si="4"/>
        <v/>
      </c>
      <c r="O20" s="36"/>
      <c r="P20" s="36"/>
      <c r="Q20" s="285"/>
      <c r="R20" s="286"/>
      <c r="S20" s="286"/>
      <c r="T20" s="286"/>
      <c r="U20" s="287"/>
      <c r="V20" s="37"/>
      <c r="W20" s="288"/>
      <c r="X20" s="288"/>
      <c r="Y20" s="288"/>
      <c r="Z20" s="288"/>
      <c r="AA20" s="288"/>
      <c r="AB20" s="288"/>
      <c r="AC20" s="73"/>
    </row>
    <row r="21" spans="1:29" s="2" customFormat="1">
      <c r="A21" s="15">
        <f t="shared" si="0"/>
        <v>17</v>
      </c>
      <c r="B21" s="297">
        <f t="shared" si="5"/>
        <v>0</v>
      </c>
      <c r="C21" s="298"/>
      <c r="D21" s="298"/>
      <c r="E21" s="298"/>
      <c r="F21" s="299"/>
      <c r="G21" s="340" t="str">
        <f t="shared" si="1"/>
        <v/>
      </c>
      <c r="H21" s="341"/>
      <c r="I21" s="341"/>
      <c r="J21" s="342"/>
      <c r="K21" s="364" t="str">
        <f t="shared" si="2"/>
        <v/>
      </c>
      <c r="L21" s="365"/>
      <c r="M21" s="38" t="str">
        <f t="shared" si="3"/>
        <v/>
      </c>
      <c r="N21" s="39" t="str">
        <f t="shared" si="4"/>
        <v/>
      </c>
      <c r="O21" s="40"/>
      <c r="P21" s="40"/>
      <c r="Q21" s="305"/>
      <c r="R21" s="306"/>
      <c r="S21" s="306"/>
      <c r="T21" s="306"/>
      <c r="U21" s="307"/>
      <c r="V21" s="41"/>
      <c r="W21" s="310"/>
      <c r="X21" s="310"/>
      <c r="Y21" s="310"/>
      <c r="Z21" s="310"/>
      <c r="AA21" s="310"/>
      <c r="AB21" s="310"/>
      <c r="AC21" s="73"/>
    </row>
    <row r="22" spans="1:29">
      <c r="A22" s="8">
        <f t="shared" si="0"/>
        <v>18</v>
      </c>
      <c r="B22" s="289">
        <f t="shared" si="5"/>
        <v>0</v>
      </c>
      <c r="C22" s="290"/>
      <c r="D22" s="290"/>
      <c r="E22" s="290"/>
      <c r="F22" s="291"/>
      <c r="G22" s="359" t="str">
        <f t="shared" si="1"/>
        <v/>
      </c>
      <c r="H22" s="360"/>
      <c r="I22" s="360"/>
      <c r="J22" s="361"/>
      <c r="K22" s="362" t="str">
        <f t="shared" si="2"/>
        <v/>
      </c>
      <c r="L22" s="363"/>
      <c r="M22" s="34" t="str">
        <f t="shared" si="3"/>
        <v/>
      </c>
      <c r="N22" s="35" t="str">
        <f t="shared" si="4"/>
        <v/>
      </c>
      <c r="O22" s="36"/>
      <c r="P22" s="36"/>
      <c r="Q22" s="285"/>
      <c r="R22" s="286"/>
      <c r="S22" s="286"/>
      <c r="T22" s="286"/>
      <c r="U22" s="287"/>
      <c r="V22" s="37"/>
      <c r="W22" s="288"/>
      <c r="X22" s="288"/>
      <c r="Y22" s="288"/>
      <c r="Z22" s="288"/>
      <c r="AA22" s="288"/>
      <c r="AB22" s="288"/>
      <c r="AC22" s="73"/>
    </row>
    <row r="23" spans="1:29" s="2" customFormat="1" ht="13.5" customHeight="1">
      <c r="A23" s="15">
        <f t="shared" si="0"/>
        <v>19</v>
      </c>
      <c r="B23" s="297">
        <f t="shared" si="5"/>
        <v>0</v>
      </c>
      <c r="C23" s="298"/>
      <c r="D23" s="298"/>
      <c r="E23" s="298"/>
      <c r="F23" s="299"/>
      <c r="G23" s="340" t="str">
        <f t="shared" si="1"/>
        <v/>
      </c>
      <c r="H23" s="341"/>
      <c r="I23" s="341"/>
      <c r="J23" s="342"/>
      <c r="K23" s="364" t="str">
        <f t="shared" si="2"/>
        <v/>
      </c>
      <c r="L23" s="365"/>
      <c r="M23" s="38" t="str">
        <f t="shared" si="3"/>
        <v/>
      </c>
      <c r="N23" s="39" t="str">
        <f t="shared" si="4"/>
        <v/>
      </c>
      <c r="O23" s="40"/>
      <c r="P23" s="40"/>
      <c r="Q23" s="337"/>
      <c r="R23" s="338"/>
      <c r="S23" s="338"/>
      <c r="T23" s="338"/>
      <c r="U23" s="339"/>
      <c r="V23" s="41"/>
      <c r="W23" s="347"/>
      <c r="X23" s="348"/>
      <c r="Y23" s="348"/>
      <c r="Z23" s="348"/>
      <c r="AA23" s="348"/>
      <c r="AB23" s="349"/>
      <c r="AC23" s="73"/>
    </row>
    <row r="24" spans="1:29" s="2" customFormat="1" ht="13.5" customHeight="1">
      <c r="A24" s="14">
        <f t="shared" si="0"/>
        <v>20</v>
      </c>
      <c r="B24" s="289">
        <f t="shared" si="5"/>
        <v>0</v>
      </c>
      <c r="C24" s="290"/>
      <c r="D24" s="290"/>
      <c r="E24" s="290"/>
      <c r="F24" s="291"/>
      <c r="G24" s="359" t="str">
        <f t="shared" si="1"/>
        <v/>
      </c>
      <c r="H24" s="360"/>
      <c r="I24" s="360"/>
      <c r="J24" s="361"/>
      <c r="K24" s="362" t="str">
        <f t="shared" si="2"/>
        <v/>
      </c>
      <c r="L24" s="366"/>
      <c r="M24" s="34" t="str">
        <f t="shared" si="3"/>
        <v/>
      </c>
      <c r="N24" s="35" t="str">
        <f t="shared" si="4"/>
        <v/>
      </c>
      <c r="O24" s="36"/>
      <c r="P24" s="36"/>
      <c r="Q24" s="350"/>
      <c r="R24" s="351"/>
      <c r="S24" s="351"/>
      <c r="T24" s="351"/>
      <c r="U24" s="352"/>
      <c r="V24" s="37"/>
      <c r="W24" s="353"/>
      <c r="X24" s="354"/>
      <c r="Y24" s="354"/>
      <c r="Z24" s="354"/>
      <c r="AA24" s="354"/>
      <c r="AB24" s="355"/>
      <c r="AC24" s="75"/>
    </row>
    <row r="25" spans="1:29" s="2" customFormat="1" ht="13.5" customHeight="1">
      <c r="A25" s="15">
        <f t="shared" si="0"/>
        <v>21</v>
      </c>
      <c r="B25" s="297">
        <f t="shared" si="5"/>
        <v>0</v>
      </c>
      <c r="C25" s="298"/>
      <c r="D25" s="298"/>
      <c r="E25" s="298"/>
      <c r="F25" s="299"/>
      <c r="G25" s="340" t="str">
        <f t="shared" si="1"/>
        <v/>
      </c>
      <c r="H25" s="341"/>
      <c r="I25" s="341"/>
      <c r="J25" s="342"/>
      <c r="K25" s="364" t="str">
        <f t="shared" si="2"/>
        <v/>
      </c>
      <c r="L25" s="365"/>
      <c r="M25" s="38" t="str">
        <f t="shared" si="3"/>
        <v/>
      </c>
      <c r="N25" s="39" t="str">
        <f t="shared" si="4"/>
        <v/>
      </c>
      <c r="O25" s="40"/>
      <c r="P25" s="40"/>
      <c r="Q25" s="305"/>
      <c r="R25" s="306"/>
      <c r="S25" s="306"/>
      <c r="T25" s="306"/>
      <c r="U25" s="307"/>
      <c r="V25" s="41"/>
      <c r="W25" s="310"/>
      <c r="X25" s="310"/>
      <c r="Y25" s="310"/>
      <c r="Z25" s="310"/>
      <c r="AA25" s="310"/>
      <c r="AB25" s="310"/>
      <c r="AC25" s="75"/>
    </row>
    <row r="26" spans="1:29" s="2" customFormat="1" ht="13.5" customHeight="1">
      <c r="A26" s="14">
        <f t="shared" si="0"/>
        <v>22</v>
      </c>
      <c r="B26" s="289">
        <f t="shared" si="5"/>
        <v>0</v>
      </c>
      <c r="C26" s="290"/>
      <c r="D26" s="290"/>
      <c r="E26" s="290"/>
      <c r="F26" s="291"/>
      <c r="G26" s="359" t="str">
        <f t="shared" si="1"/>
        <v/>
      </c>
      <c r="H26" s="360"/>
      <c r="I26" s="360"/>
      <c r="J26" s="361"/>
      <c r="K26" s="362" t="str">
        <f t="shared" si="2"/>
        <v/>
      </c>
      <c r="L26" s="363"/>
      <c r="M26" s="34" t="str">
        <f t="shared" si="3"/>
        <v/>
      </c>
      <c r="N26" s="35" t="str">
        <f t="shared" si="4"/>
        <v/>
      </c>
      <c r="O26" s="36"/>
      <c r="P26" s="36"/>
      <c r="Q26" s="285"/>
      <c r="R26" s="286"/>
      <c r="S26" s="286"/>
      <c r="T26" s="286"/>
      <c r="U26" s="287"/>
      <c r="V26" s="37"/>
      <c r="W26" s="288"/>
      <c r="X26" s="288"/>
      <c r="Y26" s="288"/>
      <c r="Z26" s="288"/>
      <c r="AA26" s="288"/>
      <c r="AB26" s="288"/>
      <c r="AC26" s="73"/>
    </row>
    <row r="27" spans="1:29" s="2" customFormat="1" ht="13.5" customHeight="1">
      <c r="A27" s="15">
        <f t="shared" si="0"/>
        <v>23</v>
      </c>
      <c r="B27" s="297">
        <f t="shared" si="5"/>
        <v>0</v>
      </c>
      <c r="C27" s="298"/>
      <c r="D27" s="298"/>
      <c r="E27" s="298"/>
      <c r="F27" s="299"/>
      <c r="G27" s="340" t="str">
        <f t="shared" si="1"/>
        <v/>
      </c>
      <c r="H27" s="341"/>
      <c r="I27" s="341"/>
      <c r="J27" s="342"/>
      <c r="K27" s="364" t="str">
        <f t="shared" si="2"/>
        <v/>
      </c>
      <c r="L27" s="365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05"/>
      <c r="R27" s="306"/>
      <c r="S27" s="306"/>
      <c r="T27" s="306"/>
      <c r="U27" s="307"/>
      <c r="V27" s="41"/>
      <c r="W27" s="310"/>
      <c r="X27" s="310"/>
      <c r="Y27" s="310"/>
      <c r="Z27" s="310"/>
      <c r="AA27" s="310"/>
      <c r="AB27" s="310"/>
      <c r="AC27" s="73"/>
    </row>
    <row r="28" spans="1:29" s="2" customFormat="1">
      <c r="A28" s="14">
        <f t="shared" si="0"/>
        <v>24</v>
      </c>
      <c r="B28" s="289">
        <f t="shared" si="5"/>
        <v>0</v>
      </c>
      <c r="C28" s="290"/>
      <c r="D28" s="290"/>
      <c r="E28" s="290"/>
      <c r="F28" s="291"/>
      <c r="G28" s="359" t="str">
        <f t="shared" si="1"/>
        <v/>
      </c>
      <c r="H28" s="360"/>
      <c r="I28" s="360"/>
      <c r="J28" s="361"/>
      <c r="K28" s="362" t="str">
        <f t="shared" si="2"/>
        <v/>
      </c>
      <c r="L28" s="363"/>
      <c r="M28" s="34" t="str">
        <f t="shared" si="3"/>
        <v/>
      </c>
      <c r="N28" s="35" t="str">
        <f t="shared" si="4"/>
        <v/>
      </c>
      <c r="O28" s="36"/>
      <c r="P28" s="36"/>
      <c r="Q28" s="285"/>
      <c r="R28" s="286"/>
      <c r="S28" s="286"/>
      <c r="T28" s="286"/>
      <c r="U28" s="287"/>
      <c r="V28" s="37"/>
      <c r="W28" s="288"/>
      <c r="X28" s="288"/>
      <c r="Y28" s="288"/>
      <c r="Z28" s="288"/>
      <c r="AA28" s="288"/>
      <c r="AB28" s="288"/>
      <c r="AC28" s="73"/>
    </row>
    <row r="29" spans="1:29" s="2" customFormat="1" ht="13.5" customHeight="1">
      <c r="A29" s="15">
        <f t="shared" si="0"/>
        <v>25</v>
      </c>
      <c r="B29" s="297" t="s">
        <v>124</v>
      </c>
      <c r="C29" s="298"/>
      <c r="D29" s="298"/>
      <c r="E29" s="298"/>
      <c r="F29" s="299"/>
      <c r="G29" s="340" t="str">
        <f t="shared" si="1"/>
        <v/>
      </c>
      <c r="H29" s="341"/>
      <c r="I29" s="341"/>
      <c r="J29" s="342"/>
      <c r="K29" s="364" t="str">
        <f t="shared" si="2"/>
        <v/>
      </c>
      <c r="L29" s="365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05"/>
      <c r="R29" s="306"/>
      <c r="S29" s="306"/>
      <c r="T29" s="306"/>
      <c r="U29" s="307"/>
      <c r="V29" s="41" t="s">
        <v>69</v>
      </c>
      <c r="W29" s="310"/>
      <c r="X29" s="310"/>
      <c r="Y29" s="310"/>
      <c r="Z29" s="310"/>
      <c r="AA29" s="310"/>
      <c r="AB29" s="310"/>
    </row>
    <row r="30" spans="1:29" s="2" customFormat="1">
      <c r="A30" s="14">
        <f t="shared" si="0"/>
        <v>26</v>
      </c>
      <c r="B30" s="289" t="s">
        <v>123</v>
      </c>
      <c r="C30" s="290"/>
      <c r="D30" s="290"/>
      <c r="E30" s="290"/>
      <c r="F30" s="291"/>
      <c r="G30" s="359" t="str">
        <f t="shared" si="1"/>
        <v/>
      </c>
      <c r="H30" s="360"/>
      <c r="I30" s="360"/>
      <c r="J30" s="361"/>
      <c r="K30" s="362" t="str">
        <f t="shared" si="2"/>
        <v/>
      </c>
      <c r="L30" s="363"/>
      <c r="M30" s="34" t="str">
        <f t="shared" si="3"/>
        <v/>
      </c>
      <c r="N30" s="35" t="str">
        <f t="shared" si="4"/>
        <v/>
      </c>
      <c r="O30" s="36"/>
      <c r="P30" s="36"/>
      <c r="Q30" s="285"/>
      <c r="R30" s="286"/>
      <c r="S30" s="286"/>
      <c r="T30" s="286"/>
      <c r="U30" s="287"/>
      <c r="V30" s="37" t="s">
        <v>125</v>
      </c>
      <c r="W30" s="288"/>
      <c r="X30" s="288"/>
      <c r="Y30" s="288"/>
      <c r="Z30" s="288"/>
      <c r="AA30" s="288"/>
      <c r="AB30" s="288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99" priority="8" stopIfTrue="1">
      <formula>LEN(G17)&gt;30</formula>
    </cfRule>
  </conditionalFormatting>
  <conditionalFormatting sqref="G18:J22 G25:J28">
    <cfRule type="expression" dxfId="98" priority="7" stopIfTrue="1">
      <formula>LEN(G18)&gt;30</formula>
    </cfRule>
  </conditionalFormatting>
  <conditionalFormatting sqref="G5:J5 G16:J16">
    <cfRule type="expression" dxfId="97" priority="6" stopIfTrue="1">
      <formula>LEN(G5)&gt;30</formula>
    </cfRule>
  </conditionalFormatting>
  <conditionalFormatting sqref="G7:J7">
    <cfRule type="expression" dxfId="96" priority="5" stopIfTrue="1">
      <formula>LEN(G7)&gt;30</formula>
    </cfRule>
  </conditionalFormatting>
  <conditionalFormatting sqref="G8:J15">
    <cfRule type="expression" dxfId="95" priority="4" stopIfTrue="1">
      <formula>LEN(G8)&gt;30</formula>
    </cfRule>
  </conditionalFormatting>
  <conditionalFormatting sqref="G6:J6">
    <cfRule type="expression" dxfId="94" priority="3" stopIfTrue="1">
      <formula>LEN(G6)&gt;30</formula>
    </cfRule>
  </conditionalFormatting>
  <conditionalFormatting sqref="G23:J24">
    <cfRule type="expression" dxfId="93" priority="2" stopIfTrue="1">
      <formula>LEN(G23)&gt;30</formula>
    </cfRule>
  </conditionalFormatting>
  <conditionalFormatting sqref="G29:J30">
    <cfRule type="expression" dxfId="9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H35" sqref="H35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6437</v>
      </c>
      <c r="B1" s="233" t="s">
        <v>6438</v>
      </c>
      <c r="C1" s="234" t="s">
        <v>1483</v>
      </c>
      <c r="D1" s="233" t="s">
        <v>6439</v>
      </c>
    </row>
    <row r="2" spans="1:4" ht="14.25" thickTop="1">
      <c r="A2" s="231">
        <f>ROW()-1</f>
        <v>1</v>
      </c>
      <c r="B2" s="231" t="s">
        <v>6459</v>
      </c>
      <c r="C2" s="232">
        <v>41584</v>
      </c>
      <c r="D2" s="231" t="s">
        <v>6673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59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J2621" sqref="J2621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608</v>
      </c>
      <c r="B1" s="198" t="s">
        <v>4673</v>
      </c>
      <c r="C1" s="197" t="s">
        <v>4672</v>
      </c>
      <c r="D1" s="196" t="s">
        <v>1421</v>
      </c>
      <c r="E1" s="195" t="s">
        <v>4671</v>
      </c>
      <c r="F1" s="195" t="s">
        <v>4670</v>
      </c>
      <c r="G1" s="194" t="s">
        <v>4669</v>
      </c>
      <c r="H1" s="194" t="s">
        <v>4668</v>
      </c>
      <c r="I1" s="194" t="s">
        <v>4667</v>
      </c>
      <c r="J1" s="194" t="s">
        <v>4666</v>
      </c>
      <c r="K1" s="194" t="s">
        <v>4665</v>
      </c>
      <c r="L1" s="194" t="s">
        <v>4664</v>
      </c>
      <c r="M1" s="193" t="s">
        <v>4663</v>
      </c>
      <c r="N1" s="193"/>
      <c r="O1" s="193" t="s">
        <v>4662</v>
      </c>
      <c r="P1" s="193"/>
      <c r="Q1" s="193" t="s">
        <v>4661</v>
      </c>
      <c r="R1" s="193"/>
      <c r="S1" s="193" t="s">
        <v>4660</v>
      </c>
      <c r="T1" s="193"/>
      <c r="U1" s="193" t="s">
        <v>4659</v>
      </c>
      <c r="V1" s="193"/>
      <c r="W1" s="193" t="s">
        <v>4659</v>
      </c>
      <c r="X1" s="193" t="s">
        <v>4658</v>
      </c>
      <c r="Y1" s="76">
        <f>SUM(X:X)/3344</f>
        <v>14.124700956937799</v>
      </c>
      <c r="Z1" s="192" t="s">
        <v>4657</v>
      </c>
      <c r="AA1" s="191" t="s">
        <v>4656</v>
      </c>
    </row>
    <row r="2" spans="1:27">
      <c r="A2" s="190" t="s">
        <v>4655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2066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4597</v>
      </c>
      <c r="H2" s="187" t="s">
        <v>4654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1739</v>
      </c>
      <c r="AA2" s="79"/>
    </row>
    <row r="3" spans="1:27">
      <c r="A3" s="185" t="s">
        <v>4653</v>
      </c>
      <c r="B3" s="83" t="str">
        <f t="shared" si="0"/>
        <v>BYOKI_SHURUI_CD</v>
      </c>
      <c r="C3" s="87" t="s">
        <v>4652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4649</v>
      </c>
      <c r="H3" s="127" t="s">
        <v>4651</v>
      </c>
      <c r="I3" s="127" t="s">
        <v>1737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1739</v>
      </c>
      <c r="AA3" s="79"/>
    </row>
    <row r="4" spans="1:27">
      <c r="A4" s="185" t="s">
        <v>4650</v>
      </c>
      <c r="B4" s="83" t="str">
        <f t="shared" si="0"/>
        <v>BYOKI_MEISHO</v>
      </c>
      <c r="C4" s="87" t="s">
        <v>1887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4649</v>
      </c>
      <c r="H4" s="127" t="s">
        <v>608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1739</v>
      </c>
      <c r="AA4" s="79"/>
    </row>
    <row r="5" spans="1:27">
      <c r="A5" s="135" t="s">
        <v>4648</v>
      </c>
      <c r="B5" s="83" t="str">
        <f t="shared" si="0"/>
        <v>M_P_RT</v>
      </c>
      <c r="C5" s="87" t="s">
        <v>2066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4597</v>
      </c>
      <c r="H5" s="127" t="s">
        <v>4647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1739</v>
      </c>
      <c r="AA5" s="79"/>
    </row>
    <row r="6" spans="1:27">
      <c r="A6" s="96" t="s">
        <v>4646</v>
      </c>
      <c r="B6" s="83" t="str">
        <f t="shared" si="0"/>
        <v>M_W_RT_CV_PLCY_TIME</v>
      </c>
      <c r="C6" s="87" t="s">
        <v>2066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4597</v>
      </c>
      <c r="H6" s="127" t="s">
        <v>4404</v>
      </c>
      <c r="I6" s="127" t="s">
        <v>2851</v>
      </c>
      <c r="J6" s="127" t="s">
        <v>4599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1739</v>
      </c>
      <c r="AA6" s="79"/>
    </row>
    <row r="7" spans="1:27">
      <c r="A7" s="96" t="s">
        <v>4645</v>
      </c>
      <c r="B7" s="83" t="str">
        <f t="shared" si="0"/>
        <v>M_TEIZO_RT</v>
      </c>
      <c r="C7" s="87" t="s">
        <v>2066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4597</v>
      </c>
      <c r="H7" s="127" t="s">
        <v>4644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1739</v>
      </c>
      <c r="AA7" s="79"/>
    </row>
    <row r="8" spans="1:27">
      <c r="A8" s="96" t="s">
        <v>4643</v>
      </c>
      <c r="B8" s="83" t="str">
        <f t="shared" si="0"/>
        <v>M_HARAIZUMI_S_RT</v>
      </c>
      <c r="C8" s="87" t="s">
        <v>2066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4597</v>
      </c>
      <c r="H8" s="127" t="s">
        <v>4476</v>
      </c>
      <c r="I8" s="127" t="s">
        <v>4076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1739</v>
      </c>
      <c r="AA8" s="79"/>
    </row>
    <row r="9" spans="1:27">
      <c r="A9" s="96" t="s">
        <v>4642</v>
      </c>
      <c r="B9" s="83" t="str">
        <f t="shared" si="0"/>
        <v>M_UL_HARAIZUMI_S_RT</v>
      </c>
      <c r="C9" s="87" t="s">
        <v>2066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4597</v>
      </c>
      <c r="H9" s="127" t="s">
        <v>4641</v>
      </c>
      <c r="I9" s="127" t="s">
        <v>4476</v>
      </c>
      <c r="J9" s="127" t="s">
        <v>4640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1739</v>
      </c>
      <c r="AA9" s="79"/>
    </row>
    <row r="10" spans="1:27">
      <c r="A10" s="96" t="s">
        <v>4639</v>
      </c>
      <c r="B10" s="83" t="str">
        <f t="shared" si="0"/>
        <v>M_KASYU_NENKIN_GENSHI_RT</v>
      </c>
      <c r="C10" s="87" t="s">
        <v>2066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4597</v>
      </c>
      <c r="H10" s="127" t="s">
        <v>2861</v>
      </c>
      <c r="I10" s="127" t="s">
        <v>3097</v>
      </c>
      <c r="J10" s="127" t="s">
        <v>4368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1739</v>
      </c>
      <c r="AA10" s="79"/>
    </row>
    <row r="11" spans="1:27">
      <c r="A11" s="96" t="s">
        <v>4638</v>
      </c>
      <c r="B11" s="83" t="str">
        <f t="shared" si="0"/>
        <v>M_NENKIN_GENSHI_RT</v>
      </c>
      <c r="C11" s="87" t="s">
        <v>2066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4597</v>
      </c>
      <c r="H11" s="127" t="s">
        <v>3097</v>
      </c>
      <c r="I11" s="127" t="s">
        <v>4368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1739</v>
      </c>
      <c r="AA11" s="79"/>
    </row>
    <row r="12" spans="1:27">
      <c r="A12" s="96" t="s">
        <v>4637</v>
      </c>
      <c r="B12" s="83" t="str">
        <f t="shared" si="0"/>
        <v>M_KAKUTEI_NENKIN_GENSHI_RT</v>
      </c>
      <c r="C12" s="87" t="s">
        <v>2066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4597</v>
      </c>
      <c r="H12" s="127" t="s">
        <v>4366</v>
      </c>
      <c r="I12" s="127" t="s">
        <v>3097</v>
      </c>
      <c r="J12" s="127" t="s">
        <v>2929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1739</v>
      </c>
      <c r="AA12" s="79"/>
    </row>
    <row r="13" spans="1:27">
      <c r="A13" s="96" t="s">
        <v>4636</v>
      </c>
      <c r="B13" s="83" t="str">
        <f t="shared" si="0"/>
        <v>M_SHUSHIN_NENKIN_GENSHI_RT</v>
      </c>
      <c r="C13" s="87" t="s">
        <v>2066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4597</v>
      </c>
      <c r="H13" s="127" t="s">
        <v>4635</v>
      </c>
      <c r="I13" s="127" t="s">
        <v>3097</v>
      </c>
      <c r="J13" s="127" t="s">
        <v>2929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1739</v>
      </c>
      <c r="AA13" s="79"/>
    </row>
    <row r="14" spans="1:27">
      <c r="A14" s="96" t="s">
        <v>4634</v>
      </c>
      <c r="B14" s="83" t="str">
        <f t="shared" si="0"/>
        <v>M_ADV_RT</v>
      </c>
      <c r="C14" s="87" t="s">
        <v>2066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4597</v>
      </c>
      <c r="H14" s="127" t="s">
        <v>4154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1739</v>
      </c>
      <c r="AA14" s="79"/>
    </row>
    <row r="15" spans="1:27">
      <c r="A15" s="96" t="s">
        <v>4633</v>
      </c>
      <c r="B15" s="83" t="str">
        <f t="shared" si="0"/>
        <v>M_TEIGEN_RT</v>
      </c>
      <c r="C15" s="87" t="s">
        <v>2066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4597</v>
      </c>
      <c r="H15" s="127" t="s">
        <v>4632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1739</v>
      </c>
      <c r="AA15" s="79"/>
    </row>
    <row r="16" spans="1:27">
      <c r="A16" s="96" t="s">
        <v>4631</v>
      </c>
      <c r="B16" s="83" t="str">
        <f t="shared" si="0"/>
        <v>M_RYO_RT_KENSAKU_KEY_SETTEI</v>
      </c>
      <c r="C16" s="87" t="s">
        <v>2066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4597</v>
      </c>
      <c r="H16" s="127" t="s">
        <v>4630</v>
      </c>
      <c r="I16" s="127" t="s">
        <v>4629</v>
      </c>
      <c r="J16" s="127" t="s">
        <v>2693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1739</v>
      </c>
      <c r="AA16" s="79"/>
    </row>
    <row r="17" spans="1:27">
      <c r="A17" s="96" t="s">
        <v>4628</v>
      </c>
      <c r="B17" s="83" t="str">
        <f t="shared" si="0"/>
        <v>M_SALES_STAFF_KITEI_INFO</v>
      </c>
      <c r="C17" s="87" t="s">
        <v>2066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4597</v>
      </c>
      <c r="H17" s="127" t="s">
        <v>3136</v>
      </c>
      <c r="I17" s="127" t="s">
        <v>4617</v>
      </c>
      <c r="J17" s="127" t="s">
        <v>4616</v>
      </c>
      <c r="K17" s="127" t="s">
        <v>4420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1739</v>
      </c>
      <c r="AA17" s="79"/>
    </row>
    <row r="18" spans="1:27">
      <c r="A18" s="96" t="s">
        <v>4627</v>
      </c>
      <c r="B18" s="83" t="str">
        <f t="shared" si="0"/>
        <v>M_CTRL</v>
      </c>
      <c r="C18" s="87" t="s">
        <v>2066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4597</v>
      </c>
      <c r="H18" s="127" t="s">
        <v>4621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1739</v>
      </c>
      <c r="AA18" s="79"/>
    </row>
    <row r="19" spans="1:27">
      <c r="A19" s="96" t="s">
        <v>4626</v>
      </c>
      <c r="B19" s="83" t="str">
        <f t="shared" si="0"/>
        <v>M_CD_CHANGE</v>
      </c>
      <c r="C19" s="87" t="s">
        <v>2066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4597</v>
      </c>
      <c r="H19" s="127" t="s">
        <v>1737</v>
      </c>
      <c r="I19" s="127" t="s">
        <v>4625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1739</v>
      </c>
      <c r="AA19" s="79"/>
    </row>
    <row r="20" spans="1:27">
      <c r="A20" s="96" t="s">
        <v>4624</v>
      </c>
      <c r="B20" s="83" t="str">
        <f t="shared" si="0"/>
        <v>M_LA_CTRL</v>
      </c>
      <c r="C20" s="87" t="s">
        <v>2066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4597</v>
      </c>
      <c r="H20" s="127" t="s">
        <v>4473</v>
      </c>
      <c r="I20" s="127" t="s">
        <v>4026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1739</v>
      </c>
      <c r="AA20" s="79"/>
    </row>
    <row r="21" spans="1:27">
      <c r="A21" s="96" t="s">
        <v>4623</v>
      </c>
      <c r="B21" s="83" t="str">
        <f t="shared" si="0"/>
        <v>M_SALES_STAFF_KITEI_INFO_LA</v>
      </c>
      <c r="C21" s="87" t="s">
        <v>2066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4597</v>
      </c>
      <c r="H21" s="127" t="s">
        <v>3136</v>
      </c>
      <c r="I21" s="127" t="s">
        <v>4617</v>
      </c>
      <c r="J21" s="127" t="s">
        <v>4616</v>
      </c>
      <c r="K21" s="127" t="s">
        <v>4420</v>
      </c>
      <c r="L21" s="132" t="s">
        <v>4473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1739</v>
      </c>
      <c r="AA21" s="79"/>
    </row>
    <row r="22" spans="1:27">
      <c r="A22" s="96" t="s">
        <v>4622</v>
      </c>
      <c r="B22" s="83" t="str">
        <f t="shared" si="0"/>
        <v>M_CA_CTRL</v>
      </c>
      <c r="C22" s="87" t="s">
        <v>2066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4597</v>
      </c>
      <c r="H22" s="127" t="s">
        <v>2686</v>
      </c>
      <c r="I22" s="127" t="s">
        <v>4621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1739</v>
      </c>
      <c r="AA22" s="79"/>
    </row>
    <row r="23" spans="1:27">
      <c r="A23" s="151" t="s">
        <v>4620</v>
      </c>
      <c r="B23" s="83" t="str">
        <f t="shared" si="0"/>
        <v>M_SALES_STAFF_KITEI_CA</v>
      </c>
      <c r="C23" s="87" t="s">
        <v>2066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4597</v>
      </c>
      <c r="H23" s="127" t="s">
        <v>3136</v>
      </c>
      <c r="I23" s="127" t="s">
        <v>4617</v>
      </c>
      <c r="J23" s="127" t="s">
        <v>4616</v>
      </c>
      <c r="K23" s="127" t="s">
        <v>4562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1739</v>
      </c>
      <c r="AA23" s="79"/>
    </row>
    <row r="24" spans="1:27">
      <c r="A24" s="96" t="s">
        <v>4619</v>
      </c>
      <c r="B24" s="83" t="str">
        <f t="shared" si="0"/>
        <v>M_SR_CTRL</v>
      </c>
      <c r="C24" s="87" t="s">
        <v>2066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4597</v>
      </c>
      <c r="H24" s="127" t="s">
        <v>4424</v>
      </c>
      <c r="I24" s="127" t="s">
        <v>4026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1739</v>
      </c>
      <c r="AA24" s="79"/>
    </row>
    <row r="25" spans="1:27">
      <c r="A25" s="96" t="s">
        <v>4618</v>
      </c>
      <c r="B25" s="83" t="str">
        <f t="shared" si="0"/>
        <v>M_SALES_STAFF_KITEI_INFO_SR</v>
      </c>
      <c r="C25" s="87" t="s">
        <v>2066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4597</v>
      </c>
      <c r="H25" s="127" t="s">
        <v>3136</v>
      </c>
      <c r="I25" s="127" t="s">
        <v>4617</v>
      </c>
      <c r="J25" s="127" t="s">
        <v>4616</v>
      </c>
      <c r="K25" s="127" t="s">
        <v>4420</v>
      </c>
      <c r="L25" s="132" t="s">
        <v>4615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1739</v>
      </c>
      <c r="AA25" s="79"/>
    </row>
    <row r="26" spans="1:27">
      <c r="A26" s="96" t="s">
        <v>4614</v>
      </c>
      <c r="B26" s="83" t="str">
        <f t="shared" si="0"/>
        <v>M_LARGE_WARIBIKI_RT</v>
      </c>
      <c r="C26" s="87" t="s">
        <v>2066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4597</v>
      </c>
      <c r="H26" s="127" t="s">
        <v>4262</v>
      </c>
      <c r="I26" s="127" t="s">
        <v>4411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1739</v>
      </c>
      <c r="AA26" s="79"/>
    </row>
    <row r="27" spans="1:27">
      <c r="A27" s="96" t="s">
        <v>4613</v>
      </c>
      <c r="B27" s="83" t="str">
        <f t="shared" si="0"/>
        <v>M_LSP_NENKIN_GENSHI_RT</v>
      </c>
      <c r="C27" s="87" t="s">
        <v>2066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4597</v>
      </c>
      <c r="H27" s="127" t="s">
        <v>4468</v>
      </c>
      <c r="I27" s="127" t="s">
        <v>3097</v>
      </c>
      <c r="J27" s="127" t="s">
        <v>4612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1739</v>
      </c>
      <c r="AA27" s="79"/>
    </row>
    <row r="28" spans="1:27">
      <c r="A28" s="96" t="s">
        <v>4611</v>
      </c>
      <c r="B28" s="83" t="str">
        <f t="shared" si="0"/>
        <v>M_LSP_KIKEN_P_RT</v>
      </c>
      <c r="C28" s="87" t="s">
        <v>2066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4597</v>
      </c>
      <c r="H28" s="127" t="s">
        <v>4468</v>
      </c>
      <c r="I28" s="127" t="s">
        <v>4610</v>
      </c>
      <c r="J28" s="127" t="s">
        <v>2618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1739</v>
      </c>
      <c r="AA28" s="79"/>
    </row>
    <row r="29" spans="1:27">
      <c r="A29" s="96" t="s">
        <v>4609</v>
      </c>
      <c r="B29" s="83" t="str">
        <f t="shared" si="0"/>
        <v>M_LSP_SEIMEIHYO</v>
      </c>
      <c r="C29" s="87" t="s">
        <v>2066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4597</v>
      </c>
      <c r="H29" s="127" t="s">
        <v>4468</v>
      </c>
      <c r="I29" s="127" t="s">
        <v>4608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1739</v>
      </c>
      <c r="AA29" s="79"/>
    </row>
    <row r="30" spans="1:27">
      <c r="A30" s="96" t="s">
        <v>4607</v>
      </c>
      <c r="B30" s="83" t="str">
        <f t="shared" si="0"/>
        <v>M_LSP_KISU_HYO</v>
      </c>
      <c r="C30" s="87" t="s">
        <v>2066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4597</v>
      </c>
      <c r="H30" s="127" t="s">
        <v>4468</v>
      </c>
      <c r="I30" s="127" t="s">
        <v>4606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1739</v>
      </c>
      <c r="AA30" s="79"/>
    </row>
    <row r="31" spans="1:27">
      <c r="A31" s="96" t="s">
        <v>4605</v>
      </c>
      <c r="B31" s="83" t="str">
        <f t="shared" si="0"/>
        <v>M_P_MEN_P_RT</v>
      </c>
      <c r="C31" s="87" t="s">
        <v>2066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4597</v>
      </c>
      <c r="H31" s="127" t="s">
        <v>4604</v>
      </c>
      <c r="I31" s="127" t="s">
        <v>2618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1739</v>
      </c>
      <c r="AA31" s="79"/>
    </row>
    <row r="32" spans="1:27">
      <c r="A32" s="96" t="s">
        <v>4603</v>
      </c>
      <c r="B32" s="83" t="str">
        <f t="shared" si="0"/>
        <v>M_V_RT_HOKENKIKAN_100_FOR_YEAR</v>
      </c>
      <c r="C32" s="87" t="s">
        <v>2066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4597</v>
      </c>
      <c r="H32" s="127" t="s">
        <v>2872</v>
      </c>
      <c r="I32" s="127" t="s">
        <v>4602</v>
      </c>
      <c r="J32" s="127">
        <v>100</v>
      </c>
      <c r="K32" s="127" t="s">
        <v>4601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1739</v>
      </c>
      <c r="AA32" s="79"/>
    </row>
    <row r="33" spans="1:27">
      <c r="A33" s="96" t="s">
        <v>4600</v>
      </c>
      <c r="B33" s="83" t="str">
        <f t="shared" si="0"/>
        <v>M_CV_PLCY_TIME_V_RT</v>
      </c>
      <c r="C33" s="87" t="s">
        <v>2066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4597</v>
      </c>
      <c r="H33" s="127" t="s">
        <v>2851</v>
      </c>
      <c r="I33" s="127" t="s">
        <v>4599</v>
      </c>
      <c r="J33" s="127" t="s">
        <v>2872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1739</v>
      </c>
      <c r="AA33" s="79"/>
    </row>
    <row r="34" spans="1:27">
      <c r="A34" s="96" t="s">
        <v>4598</v>
      </c>
      <c r="B34" s="83" t="str">
        <f t="shared" si="0"/>
        <v>M_SALES_DATE_CAL</v>
      </c>
      <c r="C34" s="87" t="s">
        <v>2066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4597</v>
      </c>
      <c r="H34" s="127" t="s">
        <v>4596</v>
      </c>
      <c r="I34" s="127" t="s">
        <v>4595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1739</v>
      </c>
      <c r="AA34" s="79"/>
    </row>
    <row r="35" spans="1:27">
      <c r="A35" s="96" t="s">
        <v>4594</v>
      </c>
      <c r="B35" s="83" t="str">
        <f t="shared" si="0"/>
        <v>T_AGENT_INFO</v>
      </c>
      <c r="C35" s="87" t="s">
        <v>2066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2065</v>
      </c>
      <c r="H35" s="127" t="s">
        <v>1752</v>
      </c>
      <c r="I35" s="127" t="s">
        <v>215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1739</v>
      </c>
      <c r="AA35" s="79"/>
    </row>
    <row r="36" spans="1:27">
      <c r="A36" s="96" t="s">
        <v>4593</v>
      </c>
      <c r="B36" s="83" t="str">
        <f t="shared" si="0"/>
        <v>T_WIN_LOGIN_INFO</v>
      </c>
      <c r="C36" s="87" t="s">
        <v>2066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2065</v>
      </c>
      <c r="H36" s="127" t="s">
        <v>4407</v>
      </c>
      <c r="I36" s="127" t="s">
        <v>4406</v>
      </c>
      <c r="J36" s="127" t="s">
        <v>4420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1739</v>
      </c>
      <c r="AA36" s="79"/>
    </row>
    <row r="37" spans="1:27">
      <c r="A37" s="96" t="s">
        <v>4592</v>
      </c>
      <c r="B37" s="83" t="str">
        <f t="shared" si="0"/>
        <v>T_CUST_INFO</v>
      </c>
      <c r="C37" s="87" t="s">
        <v>2066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2065</v>
      </c>
      <c r="H37" s="127" t="s">
        <v>3006</v>
      </c>
      <c r="I37" s="127" t="s">
        <v>4420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1739</v>
      </c>
      <c r="AA37" s="79"/>
    </row>
    <row r="38" spans="1:27">
      <c r="A38" s="96" t="s">
        <v>4591</v>
      </c>
      <c r="B38" s="83" t="str">
        <f t="shared" si="0"/>
        <v>T_CUST_KIHON_INFO</v>
      </c>
      <c r="C38" s="87" t="s">
        <v>2066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2065</v>
      </c>
      <c r="H38" s="127" t="s">
        <v>3006</v>
      </c>
      <c r="I38" s="127" t="s">
        <v>4590</v>
      </c>
      <c r="J38" s="127" t="s">
        <v>4420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1739</v>
      </c>
      <c r="AA38" s="79"/>
    </row>
    <row r="39" spans="1:27">
      <c r="A39" s="96" t="s">
        <v>4589</v>
      </c>
      <c r="B39" s="83" t="str">
        <f t="shared" si="0"/>
        <v>T_CORP_INFO</v>
      </c>
      <c r="C39" s="87" t="s">
        <v>2066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2065</v>
      </c>
      <c r="H39" s="127" t="s">
        <v>1928</v>
      </c>
      <c r="I39" s="127" t="s">
        <v>4420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1739</v>
      </c>
      <c r="AA39" s="79"/>
    </row>
    <row r="40" spans="1:27">
      <c r="A40" s="96" t="s">
        <v>4588</v>
      </c>
      <c r="B40" s="83" t="str">
        <f t="shared" si="0"/>
        <v>T_PLAN_INFO</v>
      </c>
      <c r="C40" s="87" t="s">
        <v>2066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2065</v>
      </c>
      <c r="H40" s="127" t="s">
        <v>2180</v>
      </c>
      <c r="I40" s="127" t="s">
        <v>4420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1739</v>
      </c>
      <c r="AA40" s="79"/>
    </row>
    <row r="41" spans="1:27">
      <c r="A41" s="96" t="s">
        <v>4587</v>
      </c>
      <c r="B41" s="83" t="str">
        <f t="shared" si="0"/>
        <v>T_CORP_RISK_BUNSEKI</v>
      </c>
      <c r="C41" s="87" t="s">
        <v>2066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2065</v>
      </c>
      <c r="H41" s="127" t="s">
        <v>1928</v>
      </c>
      <c r="I41" s="127" t="s">
        <v>4586</v>
      </c>
      <c r="J41" s="127" t="s">
        <v>4585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1739</v>
      </c>
      <c r="AA41" s="79"/>
    </row>
    <row r="42" spans="1:27">
      <c r="A42" s="96" t="s">
        <v>4584</v>
      </c>
      <c r="B42" s="83" t="str">
        <f t="shared" si="0"/>
        <v>T_CV_SEKKEI_KOYU</v>
      </c>
      <c r="C42" s="87" t="s">
        <v>2066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2065</v>
      </c>
      <c r="H42" s="127" t="s">
        <v>2851</v>
      </c>
      <c r="I42" s="127" t="s">
        <v>2178</v>
      </c>
      <c r="J42" s="127" t="s">
        <v>4575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1739</v>
      </c>
      <c r="AA42" s="79"/>
    </row>
    <row r="43" spans="1:27">
      <c r="A43" s="96" t="s">
        <v>4583</v>
      </c>
      <c r="B43" s="83" t="str">
        <f t="shared" si="0"/>
        <v>T_CV_KAKAKU</v>
      </c>
      <c r="C43" s="87" t="s">
        <v>2066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2065</v>
      </c>
      <c r="H43" s="127" t="s">
        <v>2851</v>
      </c>
      <c r="I43" s="127" t="s">
        <v>4582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1739</v>
      </c>
      <c r="AA43" s="79"/>
    </row>
    <row r="44" spans="1:27">
      <c r="A44" s="96" t="s">
        <v>4581</v>
      </c>
      <c r="B44" s="83" t="str">
        <f t="shared" si="0"/>
        <v>T_CV_ILST_UKETSUKE_NO</v>
      </c>
      <c r="C44" s="87" t="s">
        <v>2066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2065</v>
      </c>
      <c r="H44" s="127" t="s">
        <v>2851</v>
      </c>
      <c r="I44" s="127" t="s">
        <v>4580</v>
      </c>
      <c r="J44" s="127" t="s">
        <v>2108</v>
      </c>
      <c r="K44" s="127" t="s">
        <v>1890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1739</v>
      </c>
      <c r="AA44" s="79"/>
    </row>
    <row r="45" spans="1:27">
      <c r="A45" s="96" t="s">
        <v>4579</v>
      </c>
      <c r="B45" s="83" t="str">
        <f t="shared" si="0"/>
        <v>T_AGENT_REPORT_INFO</v>
      </c>
      <c r="C45" s="87" t="s">
        <v>2066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2065</v>
      </c>
      <c r="H45" s="127" t="s">
        <v>1752</v>
      </c>
      <c r="I45" s="127" t="s">
        <v>4578</v>
      </c>
      <c r="J45" s="127" t="s">
        <v>4420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1739</v>
      </c>
      <c r="AA45" s="79"/>
    </row>
    <row r="46" spans="1:27">
      <c r="A46" s="96" t="s">
        <v>4577</v>
      </c>
      <c r="B46" s="83" t="str">
        <f t="shared" si="0"/>
        <v>T_TOSHISEI_KOYU</v>
      </c>
      <c r="C46" s="87" t="s">
        <v>2066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2065</v>
      </c>
      <c r="H46" s="127" t="s">
        <v>4576</v>
      </c>
      <c r="I46" s="127" t="s">
        <v>4575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1739</v>
      </c>
      <c r="AA46" s="79"/>
    </row>
    <row r="47" spans="1:27">
      <c r="A47" s="96" t="s">
        <v>4574</v>
      </c>
      <c r="B47" s="83" t="str">
        <f t="shared" si="0"/>
        <v>T_RENDO_RT</v>
      </c>
      <c r="C47" s="87" t="s">
        <v>2066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2065</v>
      </c>
      <c r="H47" s="127" t="s">
        <v>3971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1739</v>
      </c>
      <c r="AA47" s="79"/>
    </row>
    <row r="48" spans="1:27">
      <c r="A48" s="96" t="s">
        <v>4573</v>
      </c>
      <c r="B48" s="83" t="str">
        <f t="shared" si="0"/>
        <v>T_PLCY_LEAD_INFO</v>
      </c>
      <c r="C48" s="87" t="s">
        <v>2066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2065</v>
      </c>
      <c r="H48" s="127" t="s">
        <v>1988</v>
      </c>
      <c r="I48" s="127" t="s">
        <v>4484</v>
      </c>
      <c r="J48" s="127" t="s">
        <v>215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1739</v>
      </c>
      <c r="AA48" s="79"/>
    </row>
    <row r="49" spans="1:27">
      <c r="A49" s="96" t="s">
        <v>4572</v>
      </c>
      <c r="B49" s="83" t="str">
        <f t="shared" si="0"/>
        <v>T_CUST_LEAD_INFO</v>
      </c>
      <c r="C49" s="87" t="s">
        <v>2066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2065</v>
      </c>
      <c r="H49" s="127" t="s">
        <v>3006</v>
      </c>
      <c r="I49" s="127" t="s">
        <v>4484</v>
      </c>
      <c r="J49" s="127" t="s">
        <v>215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1739</v>
      </c>
      <c r="AA49" s="79"/>
    </row>
    <row r="50" spans="1:27">
      <c r="A50" s="96" t="s">
        <v>4571</v>
      </c>
      <c r="B50" s="83" t="str">
        <f t="shared" si="0"/>
        <v>T_KATSUDO_RIREKI_INFO</v>
      </c>
      <c r="C50" s="87" t="s">
        <v>2066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2065</v>
      </c>
      <c r="H50" s="127" t="s">
        <v>4355</v>
      </c>
      <c r="I50" s="127" t="s">
        <v>4354</v>
      </c>
      <c r="J50" s="127" t="s">
        <v>215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1739</v>
      </c>
      <c r="AA50" s="79"/>
    </row>
    <row r="51" spans="1:27">
      <c r="A51" s="96" t="s">
        <v>4570</v>
      </c>
      <c r="B51" s="83" t="str">
        <f t="shared" si="0"/>
        <v>T_PROPOSAL_KIHON</v>
      </c>
      <c r="C51" s="87" t="s">
        <v>2066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2065</v>
      </c>
      <c r="H51" s="127" t="s">
        <v>4554</v>
      </c>
      <c r="I51" s="127" t="s">
        <v>4569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1739</v>
      </c>
      <c r="AA51" s="79"/>
    </row>
    <row r="52" spans="1:27">
      <c r="A52" s="96" t="s">
        <v>4568</v>
      </c>
      <c r="B52" s="83" t="str">
        <f t="shared" si="0"/>
        <v>T_PROPOSAL_FUTANGAKU_71</v>
      </c>
      <c r="C52" s="87" t="s">
        <v>2066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2065</v>
      </c>
      <c r="H52" s="127" t="s">
        <v>4554</v>
      </c>
      <c r="I52" s="127" t="s">
        <v>4567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1739</v>
      </c>
      <c r="AA52" s="79"/>
    </row>
    <row r="53" spans="1:27">
      <c r="A53" s="96" t="s">
        <v>4566</v>
      </c>
      <c r="B53" s="83" t="str">
        <f t="shared" si="0"/>
        <v>T_PRODUCER_COMMENT</v>
      </c>
      <c r="C53" s="87" t="s">
        <v>2066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2065</v>
      </c>
      <c r="H53" s="127" t="s">
        <v>4565</v>
      </c>
      <c r="I53" s="127" t="s">
        <v>4564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1739</v>
      </c>
      <c r="AA53" s="79"/>
    </row>
    <row r="54" spans="1:27">
      <c r="A54" s="96" t="s">
        <v>4563</v>
      </c>
      <c r="B54" s="83" t="str">
        <f t="shared" si="0"/>
        <v>T_CA_HAP_KEIKAKUHENKO_C</v>
      </c>
      <c r="C54" s="87" t="s">
        <v>2066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2065</v>
      </c>
      <c r="H54" s="127" t="s">
        <v>4562</v>
      </c>
      <c r="I54" s="127" t="s">
        <v>4561</v>
      </c>
      <c r="J54" s="127" t="s">
        <v>4560</v>
      </c>
      <c r="K54" s="127" t="s">
        <v>375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1739</v>
      </c>
      <c r="AA54" s="79"/>
    </row>
    <row r="55" spans="1:27">
      <c r="A55" s="96" t="s">
        <v>4559</v>
      </c>
      <c r="B55" s="83" t="str">
        <f t="shared" si="0"/>
        <v>T_YOCHOKIN_ICHIRAN</v>
      </c>
      <c r="C55" s="87" t="s">
        <v>2066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2065</v>
      </c>
      <c r="H55" s="127" t="s">
        <v>4558</v>
      </c>
      <c r="I55" s="127" t="s">
        <v>4556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1739</v>
      </c>
      <c r="AA55" s="79"/>
    </row>
    <row r="56" spans="1:27">
      <c r="A56" s="96" t="s">
        <v>4557</v>
      </c>
      <c r="B56" s="83" t="str">
        <f t="shared" si="0"/>
        <v>T_NENKIN_ICHIRAN</v>
      </c>
      <c r="C56" s="87" t="s">
        <v>2066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2065</v>
      </c>
      <c r="H56" s="127" t="s">
        <v>3097</v>
      </c>
      <c r="I56" s="127" t="s">
        <v>4556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1739</v>
      </c>
      <c r="AA56" s="79"/>
    </row>
    <row r="57" spans="1:27">
      <c r="A57" s="96" t="s">
        <v>4555</v>
      </c>
      <c r="B57" s="83" t="str">
        <f t="shared" si="0"/>
        <v>T_PROPOSAL_JUMBIZUMI_MEISAI_71</v>
      </c>
      <c r="C57" s="87" t="s">
        <v>2066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2065</v>
      </c>
      <c r="H57" s="127" t="s">
        <v>4554</v>
      </c>
      <c r="I57" s="127" t="s">
        <v>4553</v>
      </c>
      <c r="J57" s="127" t="s">
        <v>4552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1739</v>
      </c>
      <c r="AA57" s="79"/>
    </row>
    <row r="58" spans="1:27">
      <c r="A58" s="96" t="s">
        <v>4551</v>
      </c>
      <c r="B58" s="83" t="str">
        <f t="shared" si="0"/>
        <v>T_HOSHO_SUI_INFO</v>
      </c>
      <c r="C58" s="87" t="s">
        <v>2066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2065</v>
      </c>
      <c r="H58" s="127" t="s">
        <v>2204</v>
      </c>
      <c r="I58" s="127" t="s">
        <v>4229</v>
      </c>
      <c r="J58" s="127" t="s">
        <v>215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1739</v>
      </c>
      <c r="AA58" s="79"/>
    </row>
    <row r="59" spans="1:27">
      <c r="A59" s="96" t="s">
        <v>4550</v>
      </c>
      <c r="B59" s="83" t="str">
        <f t="shared" si="0"/>
        <v>T_KINEN_DATE</v>
      </c>
      <c r="C59" s="87" t="s">
        <v>2066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2065</v>
      </c>
      <c r="H59" s="127" t="s">
        <v>3820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1739</v>
      </c>
      <c r="AA59" s="79"/>
    </row>
    <row r="60" spans="1:27">
      <c r="A60" s="96" t="s">
        <v>4549</v>
      </c>
      <c r="B60" s="83" t="str">
        <f t="shared" si="0"/>
        <v>T_KISEIHO_B_PLCY</v>
      </c>
      <c r="C60" s="87" t="s">
        <v>2066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2065</v>
      </c>
      <c r="H60" s="127" t="s">
        <v>3828</v>
      </c>
      <c r="I60" s="127" t="s">
        <v>1577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1739</v>
      </c>
      <c r="AA60" s="79"/>
    </row>
    <row r="61" spans="1:27">
      <c r="A61" s="96" t="s">
        <v>4548</v>
      </c>
      <c r="B61" s="83" t="str">
        <f t="shared" si="0"/>
        <v>T_KISEIHO_RIDER</v>
      </c>
      <c r="C61" s="87" t="s">
        <v>2066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2065</v>
      </c>
      <c r="H61" s="127" t="s">
        <v>3828</v>
      </c>
      <c r="I61" s="127" t="s">
        <v>764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1739</v>
      </c>
      <c r="AA61" s="79"/>
    </row>
    <row r="62" spans="1:27">
      <c r="A62" s="96" t="s">
        <v>4547</v>
      </c>
      <c r="B62" s="83" t="str">
        <f t="shared" si="0"/>
        <v>T_HOSHO_KINGAKU</v>
      </c>
      <c r="C62" s="87" t="s">
        <v>2066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2065</v>
      </c>
      <c r="H62" s="127" t="s">
        <v>2204</v>
      </c>
      <c r="I62" s="127" t="s">
        <v>414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1739</v>
      </c>
      <c r="AA62" s="79"/>
    </row>
    <row r="63" spans="1:27">
      <c r="A63" s="96" t="s">
        <v>4546</v>
      </c>
      <c r="B63" s="83" t="str">
        <f t="shared" si="0"/>
        <v>T_CORP_KIKAKU_SHO_INFO</v>
      </c>
      <c r="C63" s="87" t="s">
        <v>2066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2065</v>
      </c>
      <c r="H63" s="127" t="s">
        <v>1928</v>
      </c>
      <c r="I63" s="127" t="s">
        <v>3841</v>
      </c>
      <c r="J63" s="127" t="s">
        <v>215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1739</v>
      </c>
      <c r="AA63" s="79"/>
    </row>
    <row r="64" spans="1:27">
      <c r="A64" s="96" t="s">
        <v>4545</v>
      </c>
      <c r="B64" s="83" t="str">
        <f t="shared" si="0"/>
        <v>T_SHIBO_INFO</v>
      </c>
      <c r="C64" s="87" t="s">
        <v>2066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2065</v>
      </c>
      <c r="H64" s="127" t="s">
        <v>3545</v>
      </c>
      <c r="I64" s="127" t="s">
        <v>215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1739</v>
      </c>
      <c r="AA64" s="79"/>
    </row>
    <row r="65" spans="1:27">
      <c r="A65" s="96" t="s">
        <v>4544</v>
      </c>
      <c r="B65" s="83" t="str">
        <f t="shared" si="0"/>
        <v>T_ROGO_INFO</v>
      </c>
      <c r="C65" s="87" t="s">
        <v>2066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2065</v>
      </c>
      <c r="H65" s="127" t="s">
        <v>4535</v>
      </c>
      <c r="I65" s="127" t="s">
        <v>215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1739</v>
      </c>
      <c r="AA65" s="79"/>
    </row>
    <row r="66" spans="1:27">
      <c r="A66" s="96" t="s">
        <v>4543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2066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2065</v>
      </c>
      <c r="H66" s="127" t="s">
        <v>3119</v>
      </c>
      <c r="I66" s="127" t="s">
        <v>215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1739</v>
      </c>
      <c r="AA66" s="79"/>
    </row>
    <row r="67" spans="1:27">
      <c r="A67" s="96" t="s">
        <v>4542</v>
      </c>
      <c r="B67" s="83" t="str">
        <f t="shared" si="16"/>
        <v>T_CARE_INFO</v>
      </c>
      <c r="C67" s="87" t="s">
        <v>2066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2065</v>
      </c>
      <c r="H67" s="127" t="s">
        <v>4541</v>
      </c>
      <c r="I67" s="127" t="s">
        <v>215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1739</v>
      </c>
      <c r="AA67" s="79"/>
    </row>
    <row r="68" spans="1:27">
      <c r="A68" s="96" t="s">
        <v>4540</v>
      </c>
      <c r="B68" s="83" t="str">
        <f t="shared" si="16"/>
        <v>T_LIFE_STG</v>
      </c>
      <c r="C68" s="87" t="s">
        <v>2066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2065</v>
      </c>
      <c r="H68" s="127" t="s">
        <v>4539</v>
      </c>
      <c r="I68" s="127" t="s">
        <v>4538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1739</v>
      </c>
      <c r="AA68" s="79"/>
    </row>
    <row r="69" spans="1:27">
      <c r="A69" s="96" t="s">
        <v>4537</v>
      </c>
      <c r="B69" s="83" t="str">
        <f t="shared" si="16"/>
        <v>T_SHIBO_CP_SUI</v>
      </c>
      <c r="C69" s="87" t="s">
        <v>2066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2065</v>
      </c>
      <c r="H69" s="127" t="s">
        <v>3545</v>
      </c>
      <c r="I69" s="127" t="s">
        <v>4534</v>
      </c>
      <c r="J69" s="127" t="s">
        <v>4533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1739</v>
      </c>
      <c r="AA69" s="79"/>
    </row>
    <row r="70" spans="1:27">
      <c r="A70" s="96" t="s">
        <v>4536</v>
      </c>
      <c r="B70" s="83" t="str">
        <f t="shared" si="16"/>
        <v>T_ROGO_CP_SUI</v>
      </c>
      <c r="C70" s="87" t="s">
        <v>2066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2065</v>
      </c>
      <c r="H70" s="127" t="s">
        <v>4535</v>
      </c>
      <c r="I70" s="127" t="s">
        <v>4534</v>
      </c>
      <c r="J70" s="127" t="s">
        <v>4533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1739</v>
      </c>
      <c r="AA70" s="79"/>
    </row>
    <row r="71" spans="1:27">
      <c r="A71" s="96" t="s">
        <v>4532</v>
      </c>
      <c r="B71" s="83" t="str">
        <f t="shared" si="16"/>
        <v>T_IKO_FOR_CUST</v>
      </c>
      <c r="C71" s="87" t="s">
        <v>2066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2065</v>
      </c>
      <c r="H71" s="127" t="s">
        <v>4531</v>
      </c>
      <c r="I71" s="127" t="s">
        <v>4403</v>
      </c>
      <c r="J71" s="127" t="s">
        <v>3006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1739</v>
      </c>
      <c r="AA71" s="79"/>
    </row>
    <row r="72" spans="1:27">
      <c r="A72" s="96" t="s">
        <v>4530</v>
      </c>
      <c r="B72" s="83" t="str">
        <f t="shared" si="16"/>
        <v>T_NENKIN_DET_RIREKI</v>
      </c>
      <c r="C72" s="87" t="s">
        <v>2066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2065</v>
      </c>
      <c r="H72" s="127" t="s">
        <v>3097</v>
      </c>
      <c r="I72" s="127" t="s">
        <v>2044</v>
      </c>
      <c r="J72" s="127" t="s">
        <v>2722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1739</v>
      </c>
      <c r="AA72" s="79"/>
    </row>
    <row r="73" spans="1:27">
      <c r="A73" s="96" t="s">
        <v>4529</v>
      </c>
      <c r="B73" s="83" t="str">
        <f t="shared" si="16"/>
        <v>T_OFFLINE_SALES_NISSHI_1</v>
      </c>
      <c r="C73" s="87" t="s">
        <v>2066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2065</v>
      </c>
      <c r="H73" s="127" t="s">
        <v>4527</v>
      </c>
      <c r="I73" s="127" t="s">
        <v>4526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1739</v>
      </c>
      <c r="AA73" s="79"/>
    </row>
    <row r="74" spans="1:27">
      <c r="A74" s="96" t="s">
        <v>4528</v>
      </c>
      <c r="B74" s="83" t="str">
        <f t="shared" si="16"/>
        <v>T_OFFLINE_SALES_NISSHI_2</v>
      </c>
      <c r="C74" s="87" t="s">
        <v>2066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2065</v>
      </c>
      <c r="H74" s="127" t="s">
        <v>4527</v>
      </c>
      <c r="I74" s="127" t="s">
        <v>4526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1739</v>
      </c>
      <c r="AA74" s="79"/>
    </row>
    <row r="75" spans="1:27">
      <c r="A75" s="96" t="s">
        <v>4525</v>
      </c>
      <c r="B75" s="83" t="str">
        <f t="shared" si="16"/>
        <v>T_APP_LOG_INFO</v>
      </c>
      <c r="C75" s="87" t="s">
        <v>2066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2065</v>
      </c>
      <c r="H75" s="127" t="s">
        <v>4524</v>
      </c>
      <c r="I75" s="127" t="s">
        <v>4523</v>
      </c>
      <c r="J75" s="127" t="s">
        <v>215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1739</v>
      </c>
      <c r="AA75" s="79"/>
    </row>
    <row r="76" spans="1:27">
      <c r="A76" s="135" t="s">
        <v>4522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4521</v>
      </c>
      <c r="H76" s="127" t="s">
        <v>3272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1739</v>
      </c>
      <c r="AA76" s="79"/>
    </row>
    <row r="77" spans="1:27">
      <c r="A77" s="135" t="s">
        <v>4520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4519</v>
      </c>
      <c r="H77" s="127" t="s">
        <v>3272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1739</v>
      </c>
      <c r="AA77" s="79"/>
    </row>
    <row r="78" spans="1:27">
      <c r="A78" s="142" t="s">
        <v>4518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4511</v>
      </c>
      <c r="H78" s="127" t="s">
        <v>4517</v>
      </c>
      <c r="I78" s="127" t="s">
        <v>2213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1739</v>
      </c>
      <c r="AA78" s="79"/>
    </row>
    <row r="79" spans="1:27">
      <c r="A79" s="142" t="s">
        <v>4516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4511</v>
      </c>
      <c r="H79" s="127" t="s">
        <v>4515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1739</v>
      </c>
      <c r="AA79" s="79"/>
    </row>
    <row r="80" spans="1:27">
      <c r="A80" s="142" t="s">
        <v>4513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4513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1739</v>
      </c>
      <c r="AA80" s="79"/>
    </row>
    <row r="81" spans="1:27">
      <c r="A81" s="149" t="s">
        <v>4514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4513</v>
      </c>
      <c r="H81" s="127" t="s">
        <v>3097</v>
      </c>
      <c r="I81" s="127" t="s">
        <v>3096</v>
      </c>
      <c r="J81" s="127" t="s">
        <v>3095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1739</v>
      </c>
      <c r="AA81" s="79"/>
    </row>
    <row r="82" spans="1:27">
      <c r="A82" s="149" t="s">
        <v>4512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3146</v>
      </c>
      <c r="H82" s="127" t="s">
        <v>3145</v>
      </c>
      <c r="I82" s="127" t="s">
        <v>4511</v>
      </c>
      <c r="J82" s="127" t="s">
        <v>4510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1487</v>
      </c>
      <c r="AA82" s="79"/>
    </row>
    <row r="83" spans="1:27">
      <c r="A83" s="96" t="s">
        <v>4509</v>
      </c>
      <c r="B83" s="83" t="str">
        <f t="shared" si="16"/>
        <v>SND_IF_EXEC_DATE</v>
      </c>
      <c r="C83" s="87" t="s">
        <v>1483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4508</v>
      </c>
      <c r="H83" s="127" t="s">
        <v>4505</v>
      </c>
      <c r="I83" s="127" t="s">
        <v>4504</v>
      </c>
      <c r="J83" s="127" t="s">
        <v>1483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1487</v>
      </c>
      <c r="AA83" s="79"/>
    </row>
    <row r="84" spans="1:27">
      <c r="A84" s="96" t="s">
        <v>4507</v>
      </c>
      <c r="B84" s="83" t="str">
        <f t="shared" si="16"/>
        <v>TRD_IF_EXEC_DATE</v>
      </c>
      <c r="C84" s="87" t="s">
        <v>1483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4506</v>
      </c>
      <c r="H84" s="127" t="s">
        <v>4505</v>
      </c>
      <c r="I84" s="127" t="s">
        <v>4504</v>
      </c>
      <c r="J84" s="127" t="s">
        <v>1483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1739</v>
      </c>
      <c r="AA84" s="79"/>
    </row>
    <row r="85" spans="1:27">
      <c r="A85" s="151" t="s">
        <v>4503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4502</v>
      </c>
      <c r="H85" s="127" t="s">
        <v>3580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1739</v>
      </c>
      <c r="AA85" s="79"/>
    </row>
    <row r="86" spans="1:27">
      <c r="A86" s="96" t="s">
        <v>4501</v>
      </c>
      <c r="B86" s="83" t="str">
        <f t="shared" si="16"/>
        <v>AGL_AGENT_CD</v>
      </c>
      <c r="C86" s="87" t="s">
        <v>3454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4500</v>
      </c>
      <c r="H86" s="127" t="s">
        <v>1752</v>
      </c>
      <c r="I86" s="127" t="s">
        <v>183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1739</v>
      </c>
      <c r="AA86" s="79"/>
    </row>
    <row r="87" spans="1:27">
      <c r="A87" s="96" t="s">
        <v>4499</v>
      </c>
      <c r="B87" s="83" t="str">
        <f t="shared" si="16"/>
        <v>AL_AGENT_CD</v>
      </c>
      <c r="C87" s="87" t="s">
        <v>3454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4498</v>
      </c>
      <c r="H87" s="127" t="s">
        <v>1752</v>
      </c>
      <c r="I87" s="127" t="s">
        <v>183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1739</v>
      </c>
      <c r="AA87" s="79"/>
    </row>
    <row r="88" spans="1:27">
      <c r="A88" s="96" t="s">
        <v>4497</v>
      </c>
      <c r="B88" s="83" t="str">
        <f t="shared" si="16"/>
        <v>CA_FLG</v>
      </c>
      <c r="C88" s="87" t="s">
        <v>1728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2686</v>
      </c>
      <c r="H88" s="127" t="s">
        <v>465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1487</v>
      </c>
      <c r="AA88" s="79"/>
    </row>
    <row r="89" spans="1:27">
      <c r="A89" s="96" t="s">
        <v>4496</v>
      </c>
      <c r="B89" s="83" t="str">
        <f t="shared" si="16"/>
        <v>CA_DATA_UPDATE_NENGAPPI</v>
      </c>
      <c r="C89" s="87" t="s">
        <v>1483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2686</v>
      </c>
      <c r="H89" s="127" t="s">
        <v>3240</v>
      </c>
      <c r="I89" s="127" t="s">
        <v>4255</v>
      </c>
      <c r="J89" s="127" t="s">
        <v>2518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1487</v>
      </c>
      <c r="AA89" s="79"/>
    </row>
    <row r="90" spans="1:27">
      <c r="A90" s="96" t="s">
        <v>4495</v>
      </c>
      <c r="B90" s="83" t="str">
        <f t="shared" si="16"/>
        <v>CA_DATA_CREATE_NENGAPPI</v>
      </c>
      <c r="C90" s="87" t="s">
        <v>1483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2686</v>
      </c>
      <c r="H90" s="127" t="s">
        <v>3240</v>
      </c>
      <c r="I90" s="127" t="s">
        <v>4220</v>
      </c>
      <c r="J90" s="127" t="s">
        <v>2518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1739</v>
      </c>
      <c r="AA90" s="79"/>
    </row>
    <row r="91" spans="1:27">
      <c r="A91" s="96" t="s">
        <v>4494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2686</v>
      </c>
      <c r="H91" s="127" t="s">
        <v>4039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1739</v>
      </c>
      <c r="AA91" s="79"/>
    </row>
    <row r="92" spans="1:27">
      <c r="A92" s="96" t="s">
        <v>4493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2686</v>
      </c>
      <c r="H92" s="127" t="s">
        <v>4403</v>
      </c>
      <c r="I92" s="127" t="s">
        <v>2303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1739</v>
      </c>
      <c r="AA92" s="79"/>
    </row>
    <row r="93" spans="1:27">
      <c r="A93" s="96" t="s">
        <v>4492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2686</v>
      </c>
      <c r="H93" s="127" t="s">
        <v>4403</v>
      </c>
      <c r="I93" s="127" t="s">
        <v>3300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1739</v>
      </c>
      <c r="AA93" s="79"/>
    </row>
    <row r="94" spans="1:27">
      <c r="A94" s="96" t="s">
        <v>4491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2686</v>
      </c>
      <c r="H94" s="127" t="s">
        <v>2228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1739</v>
      </c>
      <c r="AA94" s="79"/>
    </row>
    <row r="95" spans="1:27">
      <c r="A95" s="141" t="s">
        <v>4490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4487</v>
      </c>
      <c r="H95" s="127" t="s">
        <v>4489</v>
      </c>
      <c r="I95" s="127" t="s">
        <v>1299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1739</v>
      </c>
      <c r="AA95" s="79"/>
    </row>
    <row r="96" spans="1:27">
      <c r="A96" s="184" t="s">
        <v>4488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4487</v>
      </c>
      <c r="H96" s="127" t="s">
        <v>4486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1739</v>
      </c>
      <c r="AA96" s="79"/>
    </row>
    <row r="97" spans="1:27">
      <c r="A97" s="135" t="s">
        <v>6467</v>
      </c>
      <c r="B97" s="83" t="str">
        <f t="shared" si="16"/>
        <v>CC_LEAD_ID</v>
      </c>
      <c r="C97" s="87" t="s">
        <v>6468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4480</v>
      </c>
      <c r="H97" s="127" t="s">
        <v>4484</v>
      </c>
      <c r="I97" s="127" t="s">
        <v>746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1487</v>
      </c>
      <c r="AA97" s="79"/>
    </row>
    <row r="98" spans="1:27">
      <c r="A98" s="135" t="s">
        <v>4485</v>
      </c>
      <c r="B98" s="83" t="str">
        <f t="shared" si="16"/>
        <v>CC_LEAD_DISP_END_DATE</v>
      </c>
      <c r="C98" s="87" t="s">
        <v>1483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4480</v>
      </c>
      <c r="H98" s="127" t="s">
        <v>4484</v>
      </c>
      <c r="I98" s="127" t="s">
        <v>2190</v>
      </c>
      <c r="J98" s="127" t="s">
        <v>4483</v>
      </c>
      <c r="K98" s="127" t="s">
        <v>1483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1739</v>
      </c>
      <c r="AA98" s="79"/>
    </row>
    <row r="99" spans="1:27">
      <c r="A99" s="157" t="s">
        <v>4482</v>
      </c>
      <c r="B99" s="83" t="str">
        <f t="shared" si="16"/>
        <v>CC_KB</v>
      </c>
      <c r="C99" s="87" t="s">
        <v>4481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4480</v>
      </c>
      <c r="H99" s="127" t="s">
        <v>177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182</v>
      </c>
      <c r="AA99" s="79"/>
    </row>
    <row r="100" spans="1:27">
      <c r="A100" s="137" t="s">
        <v>746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746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182</v>
      </c>
      <c r="AA100" s="79"/>
    </row>
    <row r="101" spans="1:27">
      <c r="A101" s="96" t="s">
        <v>4479</v>
      </c>
      <c r="B101" s="83" t="str">
        <f t="shared" si="16"/>
        <v>IF_KB</v>
      </c>
      <c r="C101" s="87" t="s">
        <v>180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2183</v>
      </c>
      <c r="H101" s="127" t="s">
        <v>177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1739</v>
      </c>
      <c r="AA101" s="79"/>
    </row>
    <row r="102" spans="1:27">
      <c r="A102" s="149" t="s">
        <v>4478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4477</v>
      </c>
      <c r="H102" s="127" t="s">
        <v>4476</v>
      </c>
      <c r="I102" s="127" t="s">
        <v>4475</v>
      </c>
      <c r="J102" s="127" t="s">
        <v>414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1739</v>
      </c>
      <c r="AA102" s="79"/>
    </row>
    <row r="103" spans="1:27">
      <c r="A103" s="137" t="s">
        <v>4474</v>
      </c>
      <c r="B103" s="83" t="str">
        <f t="shared" si="16"/>
        <v>LA_LV</v>
      </c>
      <c r="C103" s="87" t="s">
        <v>4474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4473</v>
      </c>
      <c r="H103" s="127" t="s">
        <v>3493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1739</v>
      </c>
      <c r="AA103" s="79"/>
    </row>
    <row r="104" spans="1:27">
      <c r="A104" s="96" t="s">
        <v>6352</v>
      </c>
      <c r="B104" s="83" t="str">
        <f t="shared" si="16"/>
        <v>LMT_ID</v>
      </c>
      <c r="C104" s="87" t="s">
        <v>6352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4472</v>
      </c>
      <c r="H104" s="127" t="s">
        <v>746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1739</v>
      </c>
      <c r="AA104" s="79"/>
    </row>
    <row r="105" spans="1:27">
      <c r="A105" s="148" t="s">
        <v>4471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4468</v>
      </c>
      <c r="H105" s="127" t="s">
        <v>3272</v>
      </c>
      <c r="I105" s="127" t="s">
        <v>4467</v>
      </c>
      <c r="J105" s="183" t="s">
        <v>4470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1739</v>
      </c>
      <c r="AA105" s="79"/>
    </row>
    <row r="106" spans="1:27">
      <c r="A106" s="152" t="s">
        <v>4469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4468</v>
      </c>
      <c r="H106" s="127" t="s">
        <v>3272</v>
      </c>
      <c r="I106" s="127" t="s">
        <v>4467</v>
      </c>
      <c r="J106" s="183" t="s">
        <v>815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1739</v>
      </c>
      <c r="AA106" s="79"/>
    </row>
    <row r="107" spans="1:27">
      <c r="A107" s="96" t="s">
        <v>4466</v>
      </c>
      <c r="B107" s="83" t="str">
        <f t="shared" si="16"/>
        <v>MOF_CD</v>
      </c>
      <c r="C107" s="87" t="s">
        <v>4466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4465</v>
      </c>
      <c r="H107" s="127" t="s">
        <v>183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1739</v>
      </c>
      <c r="AA107" s="79"/>
    </row>
    <row r="108" spans="1:27">
      <c r="A108" s="145" t="s">
        <v>4464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4462</v>
      </c>
      <c r="H108" s="127" t="s">
        <v>1752</v>
      </c>
      <c r="I108" s="127" t="s">
        <v>746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1739</v>
      </c>
      <c r="AA108" s="79"/>
    </row>
    <row r="109" spans="1:27">
      <c r="A109" s="96" t="s">
        <v>4463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4462</v>
      </c>
      <c r="H109" s="127" t="s">
        <v>3006</v>
      </c>
      <c r="I109" s="127" t="s">
        <v>3203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1739</v>
      </c>
      <c r="AA109" s="79"/>
    </row>
    <row r="110" spans="1:27">
      <c r="A110" s="96" t="s">
        <v>4461</v>
      </c>
      <c r="B110" s="83" t="str">
        <f t="shared" si="16"/>
        <v>NAVI_TOOL_CD</v>
      </c>
      <c r="C110" s="87" t="s">
        <v>4460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4457</v>
      </c>
      <c r="H110" s="127" t="s">
        <v>4459</v>
      </c>
      <c r="I110" s="127" t="s">
        <v>183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1739</v>
      </c>
      <c r="AA110" s="79"/>
    </row>
    <row r="111" spans="1:27">
      <c r="A111" s="96" t="s">
        <v>4458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4457</v>
      </c>
      <c r="H111" s="127" t="s">
        <v>3006</v>
      </c>
      <c r="I111" s="127" t="s">
        <v>3203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1739</v>
      </c>
      <c r="AA111" s="79"/>
    </row>
    <row r="112" spans="1:27">
      <c r="A112" s="137" t="s">
        <v>4456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4446</v>
      </c>
      <c r="H112" s="127" t="s">
        <v>1737</v>
      </c>
      <c r="I112" s="127" t="s">
        <v>4445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1739</v>
      </c>
      <c r="AA112" s="79"/>
    </row>
    <row r="113" spans="1:27">
      <c r="A113" s="137" t="s">
        <v>4455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4446</v>
      </c>
      <c r="H113" s="127" t="s">
        <v>1737</v>
      </c>
      <c r="I113" s="127" t="s">
        <v>4445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1739</v>
      </c>
      <c r="AA113" s="79"/>
    </row>
    <row r="114" spans="1:27">
      <c r="A114" s="137" t="s">
        <v>4454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4446</v>
      </c>
      <c r="H114" s="127" t="s">
        <v>1737</v>
      </c>
      <c r="I114" s="127" t="s">
        <v>4445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1739</v>
      </c>
      <c r="AA114" s="79"/>
    </row>
    <row r="115" spans="1:27">
      <c r="A115" s="137" t="s">
        <v>4453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4446</v>
      </c>
      <c r="H115" s="127" t="s">
        <v>1737</v>
      </c>
      <c r="I115" s="127" t="s">
        <v>4445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1739</v>
      </c>
      <c r="AA115" s="79"/>
    </row>
    <row r="116" spans="1:27">
      <c r="A116" s="137" t="s">
        <v>4452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4446</v>
      </c>
      <c r="H116" s="127" t="s">
        <v>1737</v>
      </c>
      <c r="I116" s="127" t="s">
        <v>4445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1739</v>
      </c>
      <c r="AA116" s="79"/>
    </row>
    <row r="117" spans="1:27">
      <c r="A117" s="137" t="s">
        <v>4451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4446</v>
      </c>
      <c r="H117" s="127" t="s">
        <v>1737</v>
      </c>
      <c r="I117" s="127" t="s">
        <v>4445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1739</v>
      </c>
      <c r="AA117" s="79"/>
    </row>
    <row r="118" spans="1:27">
      <c r="A118" s="137" t="s">
        <v>4450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4446</v>
      </c>
      <c r="H118" s="127" t="s">
        <v>1737</v>
      </c>
      <c r="I118" s="127" t="s">
        <v>4445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1739</v>
      </c>
      <c r="AA118" s="79"/>
    </row>
    <row r="119" spans="1:27">
      <c r="A119" s="137" t="s">
        <v>4449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4446</v>
      </c>
      <c r="H119" s="127" t="s">
        <v>1737</v>
      </c>
      <c r="I119" s="127" t="s">
        <v>4445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1739</v>
      </c>
      <c r="AA119" s="79"/>
    </row>
    <row r="120" spans="1:27">
      <c r="A120" s="137" t="s">
        <v>4448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4446</v>
      </c>
      <c r="H120" s="127" t="s">
        <v>1737</v>
      </c>
      <c r="I120" s="127" t="s">
        <v>4445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1739</v>
      </c>
      <c r="AA120" s="79"/>
    </row>
    <row r="121" spans="1:27">
      <c r="A121" s="137" t="s">
        <v>4447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4446</v>
      </c>
      <c r="H121" s="127" t="s">
        <v>1737</v>
      </c>
      <c r="I121" s="127" t="s">
        <v>4445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1487</v>
      </c>
      <c r="AA121" s="79"/>
    </row>
    <row r="122" spans="1:27">
      <c r="A122" s="96" t="s">
        <v>4444</v>
      </c>
      <c r="B122" s="83" t="str">
        <f t="shared" si="16"/>
        <v>PP_UPDATE_NENGAPPI</v>
      </c>
      <c r="C122" s="87" t="s">
        <v>1483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4442</v>
      </c>
      <c r="H122" s="127" t="s">
        <v>4255</v>
      </c>
      <c r="I122" s="127" t="s">
        <v>2518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1487</v>
      </c>
      <c r="AA122" s="79"/>
    </row>
    <row r="123" spans="1:27">
      <c r="A123" s="96" t="s">
        <v>4443</v>
      </c>
      <c r="B123" s="83" t="str">
        <f t="shared" si="16"/>
        <v>PP_CREATE_NENGAPPI</v>
      </c>
      <c r="C123" s="87" t="s">
        <v>1483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4442</v>
      </c>
      <c r="H123" s="127" t="s">
        <v>4220</v>
      </c>
      <c r="I123" s="127" t="s">
        <v>2518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1739</v>
      </c>
      <c r="AA123" s="79"/>
    </row>
    <row r="124" spans="1:27">
      <c r="A124" s="96" t="s">
        <v>4441</v>
      </c>
      <c r="B124" s="83" t="str">
        <f t="shared" si="16"/>
        <v>P_RT_FOR_KATA_CD</v>
      </c>
      <c r="C124" s="87" t="s">
        <v>1574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2618</v>
      </c>
      <c r="H124" s="127" t="s">
        <v>4403</v>
      </c>
      <c r="I124" s="127" t="s">
        <v>89</v>
      </c>
      <c r="J124" s="127" t="s">
        <v>183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1739</v>
      </c>
      <c r="AA124" s="79"/>
    </row>
    <row r="125" spans="1:27">
      <c r="A125" s="145" t="s">
        <v>4440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2618</v>
      </c>
      <c r="H125" s="127" t="s">
        <v>4403</v>
      </c>
      <c r="I125" s="127" t="s">
        <v>2303</v>
      </c>
      <c r="J125" s="127" t="s">
        <v>183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1739</v>
      </c>
      <c r="AA125" s="79"/>
    </row>
    <row r="126" spans="1:27">
      <c r="A126" s="96" t="s">
        <v>4439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1238</v>
      </c>
      <c r="H126" s="127" t="s">
        <v>4438</v>
      </c>
      <c r="I126" s="127" t="s">
        <v>751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1739</v>
      </c>
      <c r="AA126" s="79"/>
    </row>
    <row r="127" spans="1:27">
      <c r="A127" s="96" t="s">
        <v>4437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1238</v>
      </c>
      <c r="H127" s="127" t="s">
        <v>4411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1739</v>
      </c>
      <c r="AA127" s="79"/>
    </row>
    <row r="128" spans="1:27">
      <c r="A128" s="182" t="s">
        <v>4436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4435</v>
      </c>
      <c r="H128" s="127" t="s">
        <v>2070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182</v>
      </c>
      <c r="AA128" s="79"/>
    </row>
    <row r="129" spans="1:27">
      <c r="A129" s="143" t="s">
        <v>4434</v>
      </c>
      <c r="B129" s="83" t="str">
        <f t="shared" si="16"/>
        <v>SP_KB</v>
      </c>
      <c r="C129" s="87" t="s">
        <v>180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1236</v>
      </c>
      <c r="H129" s="127" t="s">
        <v>1733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1739</v>
      </c>
      <c r="AA129" s="79"/>
    </row>
    <row r="130" spans="1:27">
      <c r="A130" s="134" t="s">
        <v>4433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4412</v>
      </c>
      <c r="H130" s="127" t="s">
        <v>4432</v>
      </c>
      <c r="I130" s="127" t="s">
        <v>4431</v>
      </c>
      <c r="J130" s="127" t="s">
        <v>1737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1739</v>
      </c>
      <c r="AA130" s="79"/>
    </row>
    <row r="131" spans="1:27">
      <c r="A131" s="96" t="s">
        <v>4430</v>
      </c>
      <c r="B131" s="83" t="str">
        <f t="shared" si="32"/>
        <v>SOMPO_AGENCY_SHIYONIN_NO</v>
      </c>
      <c r="C131" s="87" t="s">
        <v>4429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4428</v>
      </c>
      <c r="H131" s="127" t="s">
        <v>2994</v>
      </c>
      <c r="I131" s="127" t="s">
        <v>4427</v>
      </c>
      <c r="J131" s="127" t="s">
        <v>1849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182</v>
      </c>
      <c r="AA131" s="79"/>
    </row>
    <row r="132" spans="1:27">
      <c r="A132" s="96" t="s">
        <v>4426</v>
      </c>
      <c r="B132" s="83" t="str">
        <f t="shared" si="32"/>
        <v>SR_LV</v>
      </c>
      <c r="C132" s="87" t="s">
        <v>180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4424</v>
      </c>
      <c r="H132" s="127" t="s">
        <v>3493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379</v>
      </c>
      <c r="AA132" s="79"/>
    </row>
    <row r="133" spans="1:27">
      <c r="A133" s="96" t="s">
        <v>4425</v>
      </c>
      <c r="B133" s="83" t="str">
        <f t="shared" si="32"/>
        <v>SR_KANSAN_RT</v>
      </c>
      <c r="C133" s="87" t="s">
        <v>2465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4424</v>
      </c>
      <c r="H133" s="127" t="s">
        <v>4423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1739</v>
      </c>
      <c r="AA133" s="79"/>
    </row>
    <row r="134" spans="1:27">
      <c r="A134" s="135" t="s">
        <v>4422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4421</v>
      </c>
      <c r="H134" s="127" t="s">
        <v>4420</v>
      </c>
      <c r="I134" s="127" t="s">
        <v>341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1739</v>
      </c>
      <c r="AA134" s="79"/>
    </row>
    <row r="135" spans="1:27">
      <c r="A135" s="155" t="s">
        <v>4419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4416</v>
      </c>
      <c r="H135" s="127" t="s">
        <v>831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1739</v>
      </c>
      <c r="AA135" s="79"/>
    </row>
    <row r="136" spans="1:27">
      <c r="A136" s="155" t="s">
        <v>4418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4416</v>
      </c>
      <c r="H136" s="127" t="s">
        <v>2229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1739</v>
      </c>
      <c r="AA136" s="79"/>
    </row>
    <row r="137" spans="1:27">
      <c r="A137" s="155" t="s">
        <v>4417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4416</v>
      </c>
      <c r="H137" s="127" t="s">
        <v>2229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1739</v>
      </c>
      <c r="AA137" s="79"/>
    </row>
    <row r="138" spans="1:27">
      <c r="A138" s="96" t="s">
        <v>4415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4412</v>
      </c>
      <c r="H138" s="127" t="s">
        <v>4414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1739</v>
      </c>
      <c r="AA138" s="79"/>
    </row>
    <row r="139" spans="1:27">
      <c r="A139" s="96" t="s">
        <v>4413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4412</v>
      </c>
      <c r="H139" s="127" t="s">
        <v>4411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1739</v>
      </c>
      <c r="AA139" s="79"/>
    </row>
    <row r="140" spans="1:27">
      <c r="A140" s="136" t="s">
        <v>4410</v>
      </c>
      <c r="B140" s="83" t="str">
        <f t="shared" si="32"/>
        <v>VW_RT_FOR_KATA_CD</v>
      </c>
      <c r="C140" s="87" t="s">
        <v>1574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4409</v>
      </c>
      <c r="H140" s="127" t="s">
        <v>2685</v>
      </c>
      <c r="I140" s="127" t="s">
        <v>89</v>
      </c>
      <c r="J140" s="127" t="s">
        <v>183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1739</v>
      </c>
      <c r="AA140" s="79"/>
    </row>
    <row r="141" spans="1:27">
      <c r="A141" s="96" t="s">
        <v>4408</v>
      </c>
      <c r="B141" s="83" t="str">
        <f t="shared" si="32"/>
        <v>V_RT_FOR_KATA_CD</v>
      </c>
      <c r="C141" s="87" t="s">
        <v>1574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2872</v>
      </c>
      <c r="H141" s="127" t="s">
        <v>2685</v>
      </c>
      <c r="I141" s="127" t="s">
        <v>89</v>
      </c>
      <c r="J141" s="127" t="s">
        <v>183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1739</v>
      </c>
      <c r="AA141" s="79"/>
    </row>
    <row r="142" spans="1:27">
      <c r="A142" s="96" t="s">
        <v>6469</v>
      </c>
      <c r="B142" s="83" t="str">
        <f t="shared" si="32"/>
        <v>WIN_LOGIN_ID</v>
      </c>
      <c r="C142" s="87" t="s">
        <v>6402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4407</v>
      </c>
      <c r="H142" s="127" t="s">
        <v>4406</v>
      </c>
      <c r="I142" s="127" t="s">
        <v>746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1739</v>
      </c>
      <c r="AA142" s="79"/>
    </row>
    <row r="143" spans="1:27">
      <c r="A143" s="96" t="s">
        <v>4405</v>
      </c>
      <c r="B143" s="83" t="str">
        <f t="shared" si="32"/>
        <v>W_RT_FOR_KATA_CD</v>
      </c>
      <c r="C143" s="87" t="s">
        <v>1574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4404</v>
      </c>
      <c r="H143" s="127" t="s">
        <v>4403</v>
      </c>
      <c r="I143" s="127" t="s">
        <v>89</v>
      </c>
      <c r="J143" s="127" t="s">
        <v>183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1739</v>
      </c>
      <c r="AA143" s="79"/>
    </row>
    <row r="144" spans="1:27">
      <c r="A144" s="96" t="s">
        <v>4402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4401</v>
      </c>
      <c r="H144" s="127" t="s">
        <v>725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1788</v>
      </c>
      <c r="AA144" s="79"/>
    </row>
    <row r="145" spans="1:27">
      <c r="A145" s="157" t="s">
        <v>4400</v>
      </c>
      <c r="B145" s="83" t="str">
        <f t="shared" si="32"/>
        <v>ATTACK_MONTH</v>
      </c>
      <c r="C145" s="87" t="s">
        <v>3925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4399</v>
      </c>
      <c r="H145" s="127" t="s">
        <v>2261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1739</v>
      </c>
      <c r="AA145" s="79"/>
    </row>
    <row r="146" spans="1:27">
      <c r="A146" s="152" t="s">
        <v>4398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4397</v>
      </c>
      <c r="H146" s="127" t="s">
        <v>842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1739</v>
      </c>
      <c r="AA146" s="79"/>
    </row>
    <row r="147" spans="1:27">
      <c r="A147" s="96" t="s">
        <v>4396</v>
      </c>
      <c r="B147" s="83" t="str">
        <f t="shared" si="32"/>
        <v>ICHIJIBARAI_FLG</v>
      </c>
      <c r="C147" s="87" t="s">
        <v>1728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4395</v>
      </c>
      <c r="H147" s="127" t="s">
        <v>465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1739</v>
      </c>
      <c r="AA147" s="79"/>
    </row>
    <row r="148" spans="1:27">
      <c r="A148" s="96" t="s">
        <v>4394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4275</v>
      </c>
      <c r="H148" s="127" t="s">
        <v>2044</v>
      </c>
      <c r="I148" s="127" t="s">
        <v>183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1739</v>
      </c>
      <c r="AA148" s="79"/>
    </row>
    <row r="149" spans="1:27">
      <c r="A149" s="96" t="s">
        <v>4393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4275</v>
      </c>
      <c r="H149" s="127" t="s">
        <v>4392</v>
      </c>
      <c r="I149" s="127" t="s">
        <v>3078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1739</v>
      </c>
      <c r="AA149" s="79"/>
    </row>
    <row r="150" spans="1:27">
      <c r="A150" s="165" t="s">
        <v>4391</v>
      </c>
      <c r="B150" s="83" t="str">
        <f t="shared" si="32"/>
        <v>SALES_SHISAKU_KAHI_FLG</v>
      </c>
      <c r="C150" s="87" t="s">
        <v>1728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3136</v>
      </c>
      <c r="H150" s="127" t="s">
        <v>3135</v>
      </c>
      <c r="I150" s="127" t="s">
        <v>4390</v>
      </c>
      <c r="J150" s="127" t="s">
        <v>465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1739</v>
      </c>
      <c r="AA150" s="79"/>
    </row>
    <row r="151" spans="1:27">
      <c r="A151" s="165" t="s">
        <v>4389</v>
      </c>
      <c r="B151" s="83" t="str">
        <f t="shared" si="32"/>
        <v>SALES_SHISAKU_NAME</v>
      </c>
      <c r="C151" s="87" t="s">
        <v>4389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3136</v>
      </c>
      <c r="H151" s="127" t="s">
        <v>3135</v>
      </c>
      <c r="I151" s="127" t="s">
        <v>728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1739</v>
      </c>
      <c r="AA151" s="79"/>
    </row>
    <row r="152" spans="1:27">
      <c r="A152" s="162" t="s">
        <v>4388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2620</v>
      </c>
      <c r="H152" s="127" t="s">
        <v>3097</v>
      </c>
      <c r="I152" s="127" t="s">
        <v>2929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1739</v>
      </c>
      <c r="AA152" s="79"/>
    </row>
    <row r="153" spans="1:27">
      <c r="A153" s="145" t="s">
        <v>4387</v>
      </c>
      <c r="B153" s="83" t="str">
        <f t="shared" si="32"/>
        <v>OSUSUME_SHOHIN_CD</v>
      </c>
      <c r="C153" s="87" t="s">
        <v>2798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4386</v>
      </c>
      <c r="H153" s="127" t="s">
        <v>3337</v>
      </c>
      <c r="I153" s="127" t="s">
        <v>183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1739</v>
      </c>
      <c r="AA153" s="79"/>
    </row>
    <row r="154" spans="1:27">
      <c r="A154" s="88" t="s">
        <v>4385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4384</v>
      </c>
      <c r="H154" s="127" t="s">
        <v>4383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1739</v>
      </c>
      <c r="AA154" s="79"/>
    </row>
    <row r="155" spans="1:27">
      <c r="A155" s="96" t="s">
        <v>4382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4381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1739</v>
      </c>
      <c r="AA155" s="79"/>
    </row>
    <row r="156" spans="1:27">
      <c r="A156" s="96" t="s">
        <v>4380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4379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1739</v>
      </c>
      <c r="AA156" s="79"/>
    </row>
    <row r="157" spans="1:27">
      <c r="A157" s="96" t="s">
        <v>4378</v>
      </c>
      <c r="B157" s="83" t="str">
        <f t="shared" si="32"/>
        <v>CARE_HOSHOGAKU_FLG</v>
      </c>
      <c r="C157" s="87" t="s">
        <v>1728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4376</v>
      </c>
      <c r="H157" s="127" t="s">
        <v>465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1739</v>
      </c>
      <c r="AA157" s="79"/>
    </row>
    <row r="158" spans="1:27">
      <c r="A158" s="96" t="s">
        <v>4377</v>
      </c>
      <c r="B158" s="83" t="str">
        <f t="shared" si="32"/>
        <v>CARE_HOSHOGAKU_FLG_SPOUSE</v>
      </c>
      <c r="C158" s="87" t="s">
        <v>1728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4376</v>
      </c>
      <c r="H158" s="127" t="s">
        <v>1728</v>
      </c>
      <c r="I158" s="127" t="s">
        <v>4350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1739</v>
      </c>
      <c r="AA158" s="79"/>
    </row>
    <row r="159" spans="1:27">
      <c r="A159" s="96" t="s">
        <v>4375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4374</v>
      </c>
      <c r="H159" s="127" t="s">
        <v>4187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1739</v>
      </c>
      <c r="AA159" s="79"/>
    </row>
    <row r="160" spans="1:27">
      <c r="A160" s="96" t="s">
        <v>4373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4370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1739</v>
      </c>
      <c r="AA160" s="79"/>
    </row>
    <row r="161" spans="1:27">
      <c r="A161" s="96" t="s">
        <v>4372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4370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1739</v>
      </c>
      <c r="AA161" s="79"/>
    </row>
    <row r="162" spans="1:27">
      <c r="A162" s="96" t="s">
        <v>4371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4370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1739</v>
      </c>
      <c r="AA162" s="79"/>
    </row>
    <row r="163" spans="1:27">
      <c r="A163" s="144" t="s">
        <v>4369</v>
      </c>
      <c r="B163" s="83" t="str">
        <f t="shared" si="32"/>
        <v>KASYU_NENKIN_GENSHI_RT</v>
      </c>
      <c r="C163" s="87" t="s">
        <v>4368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2861</v>
      </c>
      <c r="H163" s="127" t="s">
        <v>3097</v>
      </c>
      <c r="I163" s="127" t="s">
        <v>2929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1739</v>
      </c>
      <c r="AA163" s="79"/>
    </row>
    <row r="164" spans="1:27">
      <c r="A164" s="96" t="s">
        <v>4367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4366</v>
      </c>
      <c r="H164" s="127" t="s">
        <v>864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1739</v>
      </c>
      <c r="AA164" s="79"/>
    </row>
    <row r="165" spans="1:27">
      <c r="A165" s="145" t="s">
        <v>1574</v>
      </c>
      <c r="B165" s="83" t="str">
        <f t="shared" si="32"/>
        <v>KATA_CD</v>
      </c>
      <c r="C165" s="87" t="s">
        <v>1574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183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1739</v>
      </c>
      <c r="AA165" s="79"/>
    </row>
    <row r="166" spans="1:27">
      <c r="A166" s="176" t="s">
        <v>4365</v>
      </c>
      <c r="B166" s="83" t="str">
        <f t="shared" si="32"/>
        <v>KATA_HANTEI_FLG</v>
      </c>
      <c r="C166" s="87" t="s">
        <v>1728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4078</v>
      </c>
      <c r="I166" s="127" t="s">
        <v>465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1739</v>
      </c>
      <c r="AA166" s="79"/>
    </row>
    <row r="167" spans="1:27">
      <c r="A167" s="165" t="s">
        <v>4364</v>
      </c>
      <c r="B167" s="83" t="str">
        <f t="shared" si="32"/>
        <v>KATSUDO_JOKYO</v>
      </c>
      <c r="C167" s="87" t="s">
        <v>4363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4360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1739</v>
      </c>
      <c r="AA167" s="79"/>
    </row>
    <row r="168" spans="1:27">
      <c r="A168" s="165" t="s">
        <v>4362</v>
      </c>
      <c r="B168" s="83" t="str">
        <f t="shared" si="32"/>
        <v>KATSUDO_JOKYO_CD</v>
      </c>
      <c r="C168" s="87" t="s">
        <v>4361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4360</v>
      </c>
      <c r="H168" s="127" t="s">
        <v>183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1739</v>
      </c>
      <c r="AA168" s="79"/>
    </row>
    <row r="169" spans="1:27">
      <c r="A169" s="145" t="s">
        <v>4359</v>
      </c>
      <c r="B169" s="83" t="str">
        <f t="shared" si="32"/>
        <v>KATSUDO_NYURYOKUZUMI_FLG</v>
      </c>
      <c r="C169" s="87" t="s">
        <v>1728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4355</v>
      </c>
      <c r="H169" s="127" t="s">
        <v>4358</v>
      </c>
      <c r="I169" s="127" t="s">
        <v>465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1739</v>
      </c>
      <c r="AA169" s="79"/>
    </row>
    <row r="170" spans="1:27">
      <c r="A170" s="96" t="s">
        <v>4357</v>
      </c>
      <c r="B170" s="83" t="str">
        <f t="shared" si="32"/>
        <v>KATSUDO_RIREKI_NO</v>
      </c>
      <c r="C170" s="87" t="s">
        <v>4356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4355</v>
      </c>
      <c r="H170" s="127" t="s">
        <v>4354</v>
      </c>
      <c r="I170" s="127" t="s">
        <v>2117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1739</v>
      </c>
      <c r="AA170" s="79"/>
    </row>
    <row r="171" spans="1:27">
      <c r="A171" s="96" t="s">
        <v>4353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4351</v>
      </c>
      <c r="H171" s="127" t="s">
        <v>3145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1739</v>
      </c>
      <c r="AA171" s="79"/>
    </row>
    <row r="172" spans="1:27">
      <c r="A172" s="96" t="s">
        <v>4352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4351</v>
      </c>
      <c r="H172" s="127" t="s">
        <v>3145</v>
      </c>
      <c r="I172" s="127" t="s">
        <v>4350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1739</v>
      </c>
      <c r="AA172" s="79"/>
    </row>
    <row r="173" spans="1:27">
      <c r="A173" s="142" t="s">
        <v>4349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4346</v>
      </c>
      <c r="H173" s="127" t="s">
        <v>2204</v>
      </c>
      <c r="I173" s="127" t="s">
        <v>1914</v>
      </c>
      <c r="J173" s="127" t="s">
        <v>197</v>
      </c>
      <c r="K173" s="127" t="s">
        <v>4348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1739</v>
      </c>
      <c r="AA173" s="79"/>
    </row>
    <row r="174" spans="1:27">
      <c r="A174" s="142" t="s">
        <v>4347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4346</v>
      </c>
      <c r="H174" s="127" t="s">
        <v>2204</v>
      </c>
      <c r="I174" s="127" t="s">
        <v>3097</v>
      </c>
      <c r="J174" s="127" t="s">
        <v>4345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1739</v>
      </c>
      <c r="AA174" s="79"/>
    </row>
    <row r="175" spans="1:27">
      <c r="A175" s="181" t="s">
        <v>4344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3841</v>
      </c>
      <c r="H175" s="127" t="s">
        <v>3969</v>
      </c>
      <c r="I175" s="127" t="s">
        <v>1849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1487</v>
      </c>
      <c r="AA175" s="79"/>
    </row>
    <row r="176" spans="1:27">
      <c r="A176" s="96" t="s">
        <v>4343</v>
      </c>
      <c r="B176" s="83" t="str">
        <f t="shared" si="32"/>
        <v>KIKAKU_SHO_UPDATE_DATE</v>
      </c>
      <c r="C176" s="87" t="s">
        <v>1483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4342</v>
      </c>
      <c r="H176" s="127" t="s">
        <v>3131</v>
      </c>
      <c r="I176" s="127" t="s">
        <v>553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1739</v>
      </c>
      <c r="AA176" s="79"/>
    </row>
    <row r="177" spans="1:27">
      <c r="A177" s="96" t="s">
        <v>4341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4340</v>
      </c>
      <c r="H177" s="127" t="s">
        <v>4339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1739</v>
      </c>
      <c r="AA177" s="79"/>
    </row>
    <row r="178" spans="1:27">
      <c r="A178" s="135" t="s">
        <v>4338</v>
      </c>
      <c r="B178" s="83" t="str">
        <f t="shared" si="32"/>
        <v>CASH_LESS_FLG</v>
      </c>
      <c r="C178" s="87" t="s">
        <v>1728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4337</v>
      </c>
      <c r="H178" s="127" t="s">
        <v>4336</v>
      </c>
      <c r="I178" s="127" t="s">
        <v>465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1739</v>
      </c>
      <c r="AA178" s="79"/>
    </row>
    <row r="179" spans="1:27">
      <c r="A179" s="157" t="s">
        <v>4335</v>
      </c>
      <c r="B179" s="83" t="str">
        <f t="shared" si="32"/>
        <v>CAMPAIGN_INFO_1</v>
      </c>
      <c r="C179" s="87" t="s">
        <v>4295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4295</v>
      </c>
      <c r="H179" s="127" t="s">
        <v>215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1739</v>
      </c>
      <c r="AA179" s="79"/>
    </row>
    <row r="180" spans="1:27">
      <c r="A180" s="157" t="s">
        <v>4334</v>
      </c>
      <c r="B180" s="83" t="str">
        <f t="shared" si="32"/>
        <v>CAMPAIGN_INFO_10</v>
      </c>
      <c r="C180" s="87" t="s">
        <v>4295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4295</v>
      </c>
      <c r="H180" s="127" t="s">
        <v>215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1739</v>
      </c>
      <c r="AA180" s="79"/>
    </row>
    <row r="181" spans="1:27">
      <c r="A181" s="157" t="s">
        <v>4333</v>
      </c>
      <c r="B181" s="83" t="str">
        <f t="shared" si="32"/>
        <v>CAMPAIGN_INFO_11</v>
      </c>
      <c r="C181" s="87" t="s">
        <v>4295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4295</v>
      </c>
      <c r="H181" s="127" t="s">
        <v>215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1739</v>
      </c>
      <c r="AA181" s="79"/>
    </row>
    <row r="182" spans="1:27">
      <c r="A182" s="157" t="s">
        <v>4332</v>
      </c>
      <c r="B182" s="83" t="str">
        <f t="shared" si="32"/>
        <v>CAMPAIGN_INFO_12</v>
      </c>
      <c r="C182" s="87" t="s">
        <v>4295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4295</v>
      </c>
      <c r="H182" s="127" t="s">
        <v>215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1739</v>
      </c>
      <c r="AA182" s="79"/>
    </row>
    <row r="183" spans="1:27">
      <c r="A183" s="157" t="s">
        <v>4331</v>
      </c>
      <c r="B183" s="83" t="str">
        <f t="shared" si="32"/>
        <v>CAMPAIGN_INFO_13</v>
      </c>
      <c r="C183" s="87" t="s">
        <v>4295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4295</v>
      </c>
      <c r="H183" s="127" t="s">
        <v>215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1739</v>
      </c>
      <c r="AA183" s="79"/>
    </row>
    <row r="184" spans="1:27">
      <c r="A184" s="157" t="s">
        <v>4330</v>
      </c>
      <c r="B184" s="83" t="str">
        <f t="shared" si="32"/>
        <v>CAMPAIGN_INFO_14</v>
      </c>
      <c r="C184" s="87" t="s">
        <v>4295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4295</v>
      </c>
      <c r="H184" s="127" t="s">
        <v>215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1739</v>
      </c>
      <c r="AA184" s="79"/>
    </row>
    <row r="185" spans="1:27">
      <c r="A185" s="157" t="s">
        <v>4329</v>
      </c>
      <c r="B185" s="83" t="str">
        <f t="shared" si="32"/>
        <v>CAMPAIGN_INFO_15</v>
      </c>
      <c r="C185" s="87" t="s">
        <v>4295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4295</v>
      </c>
      <c r="H185" s="127" t="s">
        <v>215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1739</v>
      </c>
      <c r="AA185" s="79"/>
    </row>
    <row r="186" spans="1:27">
      <c r="A186" s="157" t="s">
        <v>4328</v>
      </c>
      <c r="B186" s="83" t="str">
        <f t="shared" si="32"/>
        <v>CAMPAIGN_INFO_16</v>
      </c>
      <c r="C186" s="87" t="s">
        <v>4295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4295</v>
      </c>
      <c r="H186" s="127" t="s">
        <v>215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1739</v>
      </c>
      <c r="AA186" s="79"/>
    </row>
    <row r="187" spans="1:27">
      <c r="A187" s="157" t="s">
        <v>4327</v>
      </c>
      <c r="B187" s="83" t="str">
        <f t="shared" si="32"/>
        <v>CAMPAIGN_INFO_17</v>
      </c>
      <c r="C187" s="87" t="s">
        <v>4295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4295</v>
      </c>
      <c r="H187" s="127" t="s">
        <v>215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1739</v>
      </c>
      <c r="AA187" s="79"/>
    </row>
    <row r="188" spans="1:27">
      <c r="A188" s="157" t="s">
        <v>4326</v>
      </c>
      <c r="B188" s="83" t="str">
        <f t="shared" si="32"/>
        <v>CAMPAIGN_INFO_18</v>
      </c>
      <c r="C188" s="87" t="s">
        <v>4295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4295</v>
      </c>
      <c r="H188" s="127" t="s">
        <v>215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1739</v>
      </c>
      <c r="AA188" s="79"/>
    </row>
    <row r="189" spans="1:27">
      <c r="A189" s="157" t="s">
        <v>4325</v>
      </c>
      <c r="B189" s="83" t="str">
        <f t="shared" si="32"/>
        <v>CAMPAIGN_INFO_19</v>
      </c>
      <c r="C189" s="87" t="s">
        <v>4295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4295</v>
      </c>
      <c r="H189" s="127" t="s">
        <v>215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1739</v>
      </c>
      <c r="AA189" s="79"/>
    </row>
    <row r="190" spans="1:27">
      <c r="A190" s="157" t="s">
        <v>4324</v>
      </c>
      <c r="B190" s="83" t="str">
        <f t="shared" si="32"/>
        <v>CAMPAIGN_INFO_2</v>
      </c>
      <c r="C190" s="87" t="s">
        <v>4295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4295</v>
      </c>
      <c r="H190" s="127" t="s">
        <v>215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1739</v>
      </c>
      <c r="AA190" s="79"/>
    </row>
    <row r="191" spans="1:27">
      <c r="A191" s="157" t="s">
        <v>4323</v>
      </c>
      <c r="B191" s="83" t="str">
        <f t="shared" si="32"/>
        <v>CAMPAIGN_INFO_20</v>
      </c>
      <c r="C191" s="87" t="s">
        <v>4295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4295</v>
      </c>
      <c r="H191" s="127" t="s">
        <v>215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1739</v>
      </c>
      <c r="AA191" s="79"/>
    </row>
    <row r="192" spans="1:27">
      <c r="A192" s="157" t="s">
        <v>4322</v>
      </c>
      <c r="B192" s="83" t="str">
        <f t="shared" si="32"/>
        <v>CAMPAIGN_INFO_21</v>
      </c>
      <c r="C192" s="87" t="s">
        <v>4295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4295</v>
      </c>
      <c r="H192" s="127" t="s">
        <v>215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1739</v>
      </c>
      <c r="AA192" s="79"/>
    </row>
    <row r="193" spans="1:27">
      <c r="A193" s="157" t="s">
        <v>4321</v>
      </c>
      <c r="B193" s="83" t="str">
        <f t="shared" si="32"/>
        <v>CAMPAIGN_INFO_22</v>
      </c>
      <c r="C193" s="87" t="s">
        <v>4295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4295</v>
      </c>
      <c r="H193" s="127" t="s">
        <v>215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1739</v>
      </c>
      <c r="AA193" s="79"/>
    </row>
    <row r="194" spans="1:27">
      <c r="A194" s="157" t="s">
        <v>4320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4295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4295</v>
      </c>
      <c r="H194" s="127" t="s">
        <v>215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1739</v>
      </c>
      <c r="AA194" s="79"/>
    </row>
    <row r="195" spans="1:27">
      <c r="A195" s="157" t="s">
        <v>4319</v>
      </c>
      <c r="B195" s="83" t="str">
        <f t="shared" si="48"/>
        <v>CAMPAIGN_INFO_24</v>
      </c>
      <c r="C195" s="87" t="s">
        <v>4295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4295</v>
      </c>
      <c r="H195" s="127" t="s">
        <v>215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1739</v>
      </c>
      <c r="AA195" s="79"/>
    </row>
    <row r="196" spans="1:27">
      <c r="A196" s="157" t="s">
        <v>4318</v>
      </c>
      <c r="B196" s="83" t="str">
        <f t="shared" si="48"/>
        <v>CAMPAIGN_INFO_25</v>
      </c>
      <c r="C196" s="87" t="s">
        <v>4295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4295</v>
      </c>
      <c r="H196" s="127" t="s">
        <v>215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1739</v>
      </c>
      <c r="AA196" s="79"/>
    </row>
    <row r="197" spans="1:27">
      <c r="A197" s="157" t="s">
        <v>4317</v>
      </c>
      <c r="B197" s="83" t="str">
        <f t="shared" si="48"/>
        <v>CAMPAIGN_INFO_26</v>
      </c>
      <c r="C197" s="87" t="s">
        <v>4295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4295</v>
      </c>
      <c r="H197" s="127" t="s">
        <v>215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1739</v>
      </c>
      <c r="AA197" s="79"/>
    </row>
    <row r="198" spans="1:27">
      <c r="A198" s="157" t="s">
        <v>4316</v>
      </c>
      <c r="B198" s="83" t="str">
        <f t="shared" si="48"/>
        <v>CAMPAIGN_INFO_27</v>
      </c>
      <c r="C198" s="87" t="s">
        <v>4295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4295</v>
      </c>
      <c r="H198" s="127" t="s">
        <v>215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1739</v>
      </c>
      <c r="AA198" s="79"/>
    </row>
    <row r="199" spans="1:27">
      <c r="A199" s="157" t="s">
        <v>4315</v>
      </c>
      <c r="B199" s="83" t="str">
        <f t="shared" si="48"/>
        <v>CAMPAIGN_INFO_28</v>
      </c>
      <c r="C199" s="87" t="s">
        <v>4295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4295</v>
      </c>
      <c r="H199" s="127" t="s">
        <v>215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1739</v>
      </c>
      <c r="AA199" s="79"/>
    </row>
    <row r="200" spans="1:27">
      <c r="A200" s="157" t="s">
        <v>4314</v>
      </c>
      <c r="B200" s="83" t="str">
        <f t="shared" si="48"/>
        <v>CAMPAIGN_INFO_29</v>
      </c>
      <c r="C200" s="87" t="s">
        <v>4295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4295</v>
      </c>
      <c r="H200" s="127" t="s">
        <v>215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1739</v>
      </c>
      <c r="AA200" s="79"/>
    </row>
    <row r="201" spans="1:27">
      <c r="A201" s="157" t="s">
        <v>4313</v>
      </c>
      <c r="B201" s="83" t="str">
        <f t="shared" si="48"/>
        <v>CAMPAIGN_INFO_3</v>
      </c>
      <c r="C201" s="87" t="s">
        <v>4295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4295</v>
      </c>
      <c r="H201" s="127" t="s">
        <v>215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1739</v>
      </c>
      <c r="AA201" s="79"/>
    </row>
    <row r="202" spans="1:27">
      <c r="A202" s="157" t="s">
        <v>4312</v>
      </c>
      <c r="B202" s="83" t="str">
        <f t="shared" si="48"/>
        <v>CAMPAIGN_INFO_30</v>
      </c>
      <c r="C202" s="87" t="s">
        <v>4295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4295</v>
      </c>
      <c r="H202" s="127" t="s">
        <v>215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1739</v>
      </c>
      <c r="AA202" s="79"/>
    </row>
    <row r="203" spans="1:27">
      <c r="A203" s="157" t="s">
        <v>4311</v>
      </c>
      <c r="B203" s="83" t="str">
        <f t="shared" si="48"/>
        <v>CAMPAIGN_INFO_31</v>
      </c>
      <c r="C203" s="87" t="s">
        <v>4295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4295</v>
      </c>
      <c r="H203" s="127" t="s">
        <v>215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1739</v>
      </c>
      <c r="AA203" s="79"/>
    </row>
    <row r="204" spans="1:27">
      <c r="A204" s="157" t="s">
        <v>4310</v>
      </c>
      <c r="B204" s="83" t="str">
        <f t="shared" si="48"/>
        <v>CAMPAIGN_INFO_32</v>
      </c>
      <c r="C204" s="87" t="s">
        <v>4295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4295</v>
      </c>
      <c r="H204" s="127" t="s">
        <v>215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1739</v>
      </c>
      <c r="AA204" s="79"/>
    </row>
    <row r="205" spans="1:27">
      <c r="A205" s="157" t="s">
        <v>4309</v>
      </c>
      <c r="B205" s="83" t="str">
        <f t="shared" si="48"/>
        <v>CAMPAIGN_INFO_33</v>
      </c>
      <c r="C205" s="87" t="s">
        <v>4295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4295</v>
      </c>
      <c r="H205" s="127" t="s">
        <v>215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1739</v>
      </c>
      <c r="AA205" s="79"/>
    </row>
    <row r="206" spans="1:27">
      <c r="A206" s="157" t="s">
        <v>4308</v>
      </c>
      <c r="B206" s="83" t="str">
        <f t="shared" si="48"/>
        <v>CAMPAIGN_INFO_34</v>
      </c>
      <c r="C206" s="87" t="s">
        <v>4295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4295</v>
      </c>
      <c r="H206" s="127" t="s">
        <v>215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1739</v>
      </c>
      <c r="AA206" s="79"/>
    </row>
    <row r="207" spans="1:27">
      <c r="A207" s="157" t="s">
        <v>4307</v>
      </c>
      <c r="B207" s="83" t="str">
        <f t="shared" si="48"/>
        <v>CAMPAIGN_INFO_35</v>
      </c>
      <c r="C207" s="87" t="s">
        <v>4295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4295</v>
      </c>
      <c r="H207" s="127" t="s">
        <v>215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1739</v>
      </c>
      <c r="AA207" s="79"/>
    </row>
    <row r="208" spans="1:27">
      <c r="A208" s="157" t="s">
        <v>4306</v>
      </c>
      <c r="B208" s="83" t="str">
        <f t="shared" si="48"/>
        <v>CAMPAIGN_INFO_36</v>
      </c>
      <c r="C208" s="87" t="s">
        <v>4295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4295</v>
      </c>
      <c r="H208" s="127" t="s">
        <v>215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1739</v>
      </c>
      <c r="AA208" s="79"/>
    </row>
    <row r="209" spans="1:27">
      <c r="A209" s="157" t="s">
        <v>4305</v>
      </c>
      <c r="B209" s="83" t="str">
        <f t="shared" si="48"/>
        <v>CAMPAIGN_INFO_4</v>
      </c>
      <c r="C209" s="87" t="s">
        <v>4295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4295</v>
      </c>
      <c r="H209" s="127" t="s">
        <v>215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1739</v>
      </c>
      <c r="AA209" s="79"/>
    </row>
    <row r="210" spans="1:27">
      <c r="A210" s="157" t="s">
        <v>4304</v>
      </c>
      <c r="B210" s="83" t="str">
        <f t="shared" si="48"/>
        <v>CAMPAIGN_INFO_5</v>
      </c>
      <c r="C210" s="87" t="s">
        <v>4295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4295</v>
      </c>
      <c r="H210" s="127" t="s">
        <v>215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1739</v>
      </c>
      <c r="AA210" s="79"/>
    </row>
    <row r="211" spans="1:27">
      <c r="A211" s="157" t="s">
        <v>4303</v>
      </c>
      <c r="B211" s="83" t="str">
        <f t="shared" si="48"/>
        <v>CAMPAIGN_INFO_6</v>
      </c>
      <c r="C211" s="87" t="s">
        <v>4295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4295</v>
      </c>
      <c r="H211" s="127" t="s">
        <v>215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1739</v>
      </c>
      <c r="AA211" s="79"/>
    </row>
    <row r="212" spans="1:27">
      <c r="A212" s="157" t="s">
        <v>4302</v>
      </c>
      <c r="B212" s="83" t="str">
        <f t="shared" si="48"/>
        <v>CAMPAIGN_INFO_7</v>
      </c>
      <c r="C212" s="87" t="s">
        <v>4295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4295</v>
      </c>
      <c r="H212" s="127" t="s">
        <v>215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1739</v>
      </c>
      <c r="AA212" s="79"/>
    </row>
    <row r="213" spans="1:27">
      <c r="A213" s="157" t="s">
        <v>4301</v>
      </c>
      <c r="B213" s="83" t="str">
        <f t="shared" si="48"/>
        <v>CAMPAIGN_INFO_8</v>
      </c>
      <c r="C213" s="87" t="s">
        <v>4295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4295</v>
      </c>
      <c r="H213" s="127" t="s">
        <v>215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1739</v>
      </c>
      <c r="AA213" s="79"/>
    </row>
    <row r="214" spans="1:27">
      <c r="A214" s="157" t="s">
        <v>4300</v>
      </c>
      <c r="B214" s="83" t="str">
        <f t="shared" si="48"/>
        <v>CAMPAIGN_INFO_9</v>
      </c>
      <c r="C214" s="87" t="s">
        <v>4295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4295</v>
      </c>
      <c r="H214" s="127" t="s">
        <v>215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1101</v>
      </c>
      <c r="AA214" s="79"/>
    </row>
    <row r="215" spans="1:27">
      <c r="A215" s="165" t="s">
        <v>4299</v>
      </c>
      <c r="B215" s="83" t="str">
        <f t="shared" si="48"/>
        <v>CAMPAIGN_NAME</v>
      </c>
      <c r="C215" s="87" t="s">
        <v>4298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4298</v>
      </c>
      <c r="H215" s="127" t="s">
        <v>1403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1739</v>
      </c>
      <c r="AA215" s="79"/>
    </row>
    <row r="216" spans="1:27">
      <c r="A216" s="145" t="s">
        <v>4297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4295</v>
      </c>
      <c r="H216" s="127" t="s">
        <v>215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1739</v>
      </c>
      <c r="AA216" s="79"/>
    </row>
    <row r="217" spans="1:27">
      <c r="A217" s="157" t="s">
        <v>4296</v>
      </c>
      <c r="B217" s="83" t="str">
        <f t="shared" si="48"/>
        <v>CAMPAIGN_INFO_37</v>
      </c>
      <c r="C217" s="87" t="s">
        <v>4295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4295</v>
      </c>
      <c r="H217" s="127" t="s">
        <v>215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1739</v>
      </c>
      <c r="AA217" s="79"/>
    </row>
    <row r="218" spans="1:27">
      <c r="A218" s="96" t="s">
        <v>4294</v>
      </c>
      <c r="B218" s="83" t="str">
        <f t="shared" si="48"/>
        <v>EDUC_SHIKIN_KEISAN_FLG</v>
      </c>
      <c r="C218" s="87" t="s">
        <v>1728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4291</v>
      </c>
      <c r="H218" s="127" t="s">
        <v>4272</v>
      </c>
      <c r="I218" s="127" t="s">
        <v>4271</v>
      </c>
      <c r="J218" s="127" t="s">
        <v>465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1739</v>
      </c>
      <c r="AA218" s="79"/>
    </row>
    <row r="219" spans="1:27">
      <c r="A219" s="96" t="s">
        <v>4293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4291</v>
      </c>
      <c r="H219" s="127" t="s">
        <v>4272</v>
      </c>
      <c r="I219" s="127" t="s">
        <v>4148</v>
      </c>
      <c r="J219" s="127" t="s">
        <v>2190</v>
      </c>
      <c r="K219" s="127" t="s">
        <v>341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1739</v>
      </c>
      <c r="AA219" s="79"/>
    </row>
    <row r="220" spans="1:27">
      <c r="A220" s="96" t="s">
        <v>4292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4291</v>
      </c>
      <c r="H220" s="127" t="s">
        <v>3016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1739</v>
      </c>
      <c r="AA220" s="79"/>
    </row>
    <row r="221" spans="1:27">
      <c r="A221" s="144" t="s">
        <v>4290</v>
      </c>
      <c r="B221" s="83" t="str">
        <f t="shared" si="48"/>
        <v>KEIKA_KIKAN</v>
      </c>
      <c r="C221" s="87" t="s">
        <v>4289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4283</v>
      </c>
      <c r="H221" s="127" t="s">
        <v>864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1739</v>
      </c>
      <c r="AA221" s="79"/>
    </row>
    <row r="222" spans="1:27">
      <c r="A222" s="162" t="s">
        <v>4288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4283</v>
      </c>
      <c r="H222" s="127" t="s">
        <v>3149</v>
      </c>
      <c r="I222" s="127" t="s">
        <v>4287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1739</v>
      </c>
      <c r="AA222" s="79"/>
    </row>
    <row r="223" spans="1:27">
      <c r="A223" s="145" t="s">
        <v>4286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4283</v>
      </c>
      <c r="H223" s="127" t="s">
        <v>4282</v>
      </c>
      <c r="I223" s="127" t="s">
        <v>4285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1739</v>
      </c>
      <c r="AA223" s="79"/>
    </row>
    <row r="224" spans="1:27">
      <c r="A224" s="144" t="s">
        <v>4284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4283</v>
      </c>
      <c r="H224" s="127" t="s">
        <v>4282</v>
      </c>
      <c r="I224" s="127" t="s">
        <v>4281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1487</v>
      </c>
      <c r="AA224" s="79"/>
    </row>
    <row r="225" spans="1:27">
      <c r="A225" s="96" t="s">
        <v>4280</v>
      </c>
      <c r="B225" s="83" t="str">
        <f t="shared" si="48"/>
        <v>KEISAN_KIJUN_DATE</v>
      </c>
      <c r="C225" s="87" t="s">
        <v>1483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4271</v>
      </c>
      <c r="H225" s="127" t="s">
        <v>4279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1739</v>
      </c>
      <c r="AA225" s="79"/>
    </row>
    <row r="226" spans="1:27">
      <c r="A226" s="137" t="s">
        <v>4278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1988</v>
      </c>
      <c r="H226" s="127" t="s">
        <v>2324</v>
      </c>
      <c r="I226" s="127" t="s">
        <v>1823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1739</v>
      </c>
      <c r="AA226" s="79"/>
    </row>
    <row r="227" spans="1:27">
      <c r="A227" s="137" t="s">
        <v>4277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1988</v>
      </c>
      <c r="H227" s="127" t="s">
        <v>2324</v>
      </c>
      <c r="I227" s="127" t="s">
        <v>1282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1739</v>
      </c>
      <c r="AA227" s="79"/>
    </row>
    <row r="228" spans="1:27">
      <c r="A228" s="96" t="s">
        <v>4276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4269</v>
      </c>
      <c r="H228" s="127" t="s">
        <v>4275</v>
      </c>
      <c r="I228" s="127" t="s">
        <v>2042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1739</v>
      </c>
      <c r="AA228" s="79"/>
    </row>
    <row r="229" spans="1:27">
      <c r="A229" s="96" t="s">
        <v>4274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4269</v>
      </c>
      <c r="H229" s="127" t="s">
        <v>4272</v>
      </c>
      <c r="I229" s="127" t="s">
        <v>4148</v>
      </c>
      <c r="J229" s="127" t="s">
        <v>843</v>
      </c>
      <c r="K229" s="127" t="s">
        <v>2042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1739</v>
      </c>
      <c r="AA229" s="79"/>
    </row>
    <row r="230" spans="1:27">
      <c r="A230" s="96" t="s">
        <v>4273</v>
      </c>
      <c r="B230" s="83" t="str">
        <f t="shared" si="48"/>
        <v>KEKKON_SHIKIN_KEISAN_FLG</v>
      </c>
      <c r="C230" s="87" t="s">
        <v>1728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4269</v>
      </c>
      <c r="H230" s="127" t="s">
        <v>4272</v>
      </c>
      <c r="I230" s="127" t="s">
        <v>4271</v>
      </c>
      <c r="J230" s="127" t="s">
        <v>1728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1739</v>
      </c>
      <c r="AA230" s="79"/>
    </row>
    <row r="231" spans="1:27">
      <c r="A231" s="96" t="s">
        <v>4270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4269</v>
      </c>
      <c r="H231" s="127" t="s">
        <v>4268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1739</v>
      </c>
      <c r="AA231" s="79"/>
    </row>
    <row r="232" spans="1:27">
      <c r="A232" s="96" t="s">
        <v>4267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4266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182</v>
      </c>
      <c r="AA232" s="79"/>
    </row>
    <row r="233" spans="1:27">
      <c r="A233" s="96" t="s">
        <v>4265</v>
      </c>
      <c r="B233" s="83" t="str">
        <f t="shared" si="48"/>
        <v>AUTHORITY_KB</v>
      </c>
      <c r="C233" s="87" t="s">
        <v>180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4264</v>
      </c>
      <c r="H233" s="127" t="s">
        <v>1733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1739</v>
      </c>
      <c r="AA233" s="79"/>
    </row>
    <row r="234" spans="1:27">
      <c r="A234" s="144" t="s">
        <v>4263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4262</v>
      </c>
      <c r="H234" s="127" t="s">
        <v>3119</v>
      </c>
      <c r="I234" s="127" t="s">
        <v>4261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1739</v>
      </c>
      <c r="AA234" s="79"/>
    </row>
    <row r="235" spans="1:27">
      <c r="A235" s="96" t="s">
        <v>4260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4259</v>
      </c>
      <c r="H235" s="127" t="s">
        <v>3272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1739</v>
      </c>
      <c r="AA235" s="79"/>
    </row>
    <row r="236" spans="1:27">
      <c r="A236" s="96" t="s">
        <v>4258</v>
      </c>
      <c r="B236" s="83" t="str">
        <f t="shared" si="48"/>
        <v>UPDATE_BY</v>
      </c>
      <c r="C236" s="87" t="s">
        <v>4221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4257</v>
      </c>
      <c r="H236" s="127" t="s">
        <v>2084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1487</v>
      </c>
      <c r="AA236" s="79"/>
    </row>
    <row r="237" spans="1:27">
      <c r="A237" s="180" t="s">
        <v>4256</v>
      </c>
      <c r="B237" s="83" t="str">
        <f t="shared" si="48"/>
        <v>UPDATE_DATE</v>
      </c>
      <c r="C237" s="87" t="s">
        <v>1483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4255</v>
      </c>
      <c r="H237" s="127" t="s">
        <v>4254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1739</v>
      </c>
      <c r="AA237" s="79"/>
    </row>
    <row r="238" spans="1:27">
      <c r="A238" s="96" t="s">
        <v>4253</v>
      </c>
      <c r="B238" s="83" t="str">
        <f t="shared" si="48"/>
        <v>TAKAWARI_HANTEI_S_MAX</v>
      </c>
      <c r="C238" s="87" t="s">
        <v>3664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4252</v>
      </c>
      <c r="H238" s="127" t="s">
        <v>4078</v>
      </c>
      <c r="I238" s="127" t="s">
        <v>1235</v>
      </c>
      <c r="J238" s="127" t="s">
        <v>4251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1739</v>
      </c>
      <c r="AA238" s="79"/>
    </row>
    <row r="239" spans="1:27">
      <c r="A239" s="96" t="s">
        <v>1737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1737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1739</v>
      </c>
      <c r="AA239" s="79"/>
    </row>
    <row r="240" spans="1:27">
      <c r="A240" s="96" t="s">
        <v>4250</v>
      </c>
      <c r="B240" s="83" t="str">
        <f t="shared" si="48"/>
        <v>CUST_JOKYO</v>
      </c>
      <c r="C240" s="87" t="s">
        <v>1594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3006</v>
      </c>
      <c r="H240" s="127" t="s">
        <v>3290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1739</v>
      </c>
      <c r="AA240" s="79"/>
    </row>
    <row r="241" spans="1:27">
      <c r="A241" s="144" t="s">
        <v>4249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3006</v>
      </c>
      <c r="H241" s="127" t="s">
        <v>3555</v>
      </c>
      <c r="I241" s="127" t="s">
        <v>2303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1739</v>
      </c>
      <c r="AA241" s="79"/>
    </row>
    <row r="242" spans="1:27">
      <c r="A242" s="144" t="s">
        <v>4248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3006</v>
      </c>
      <c r="H242" s="127" t="s">
        <v>3555</v>
      </c>
      <c r="I242" s="127" t="s">
        <v>3300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1739</v>
      </c>
      <c r="AA242" s="79"/>
    </row>
    <row r="243" spans="1:27">
      <c r="A243" s="157" t="s">
        <v>4247</v>
      </c>
      <c r="B243" s="83" t="str">
        <f t="shared" si="48"/>
        <v>KOJIN_NAVIPLUS_ID</v>
      </c>
      <c r="C243" s="87" t="s">
        <v>6470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4246</v>
      </c>
      <c r="H243" s="127" t="s">
        <v>4028</v>
      </c>
      <c r="I243" s="127" t="s">
        <v>746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1739</v>
      </c>
      <c r="AA243" s="79"/>
    </row>
    <row r="244" spans="1:27">
      <c r="A244" s="133" t="s">
        <v>4245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4244</v>
      </c>
      <c r="H244" s="127" t="s">
        <v>2497</v>
      </c>
      <c r="I244" s="127" t="s">
        <v>2142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1739</v>
      </c>
      <c r="AA244" s="79"/>
    </row>
    <row r="245" spans="1:27">
      <c r="A245" s="88" t="s">
        <v>4243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4239</v>
      </c>
      <c r="H245" s="127" t="s">
        <v>2324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1739</v>
      </c>
      <c r="AA245" s="79"/>
    </row>
    <row r="246" spans="1:27">
      <c r="A246" s="88" t="s">
        <v>4242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4239</v>
      </c>
      <c r="H246" s="127" t="s">
        <v>2324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1739</v>
      </c>
      <c r="AA246" s="79"/>
    </row>
    <row r="247" spans="1:27">
      <c r="A247" s="88" t="s">
        <v>4241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4239</v>
      </c>
      <c r="H247" s="127" t="s">
        <v>2324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1739</v>
      </c>
      <c r="AA247" s="79"/>
    </row>
    <row r="248" spans="1:27">
      <c r="A248" s="88" t="s">
        <v>4240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4239</v>
      </c>
      <c r="H248" s="127" t="s">
        <v>2324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1739</v>
      </c>
      <c r="AA248" s="79"/>
    </row>
    <row r="249" spans="1:27">
      <c r="A249" s="96" t="s">
        <v>4238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4235</v>
      </c>
      <c r="H249" s="127" t="s">
        <v>4237</v>
      </c>
      <c r="I249" s="127" t="s">
        <v>1737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1739</v>
      </c>
      <c r="AA249" s="79"/>
    </row>
    <row r="250" spans="1:27">
      <c r="A250" s="96" t="s">
        <v>4236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4235</v>
      </c>
      <c r="H250" s="127" t="s">
        <v>1951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1739</v>
      </c>
      <c r="AA250" s="79"/>
    </row>
    <row r="251" spans="1:27">
      <c r="A251" s="135" t="s">
        <v>4234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4231</v>
      </c>
      <c r="H251" s="127" t="s">
        <v>832</v>
      </c>
      <c r="I251" s="127" t="s">
        <v>3232</v>
      </c>
      <c r="J251" s="127" t="s">
        <v>4233</v>
      </c>
      <c r="K251" s="127" t="s">
        <v>1733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1739</v>
      </c>
      <c r="AA251" s="79"/>
    </row>
    <row r="252" spans="1:27">
      <c r="A252" s="96" t="s">
        <v>4232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4231</v>
      </c>
      <c r="H252" s="127" t="s">
        <v>2551</v>
      </c>
      <c r="I252" s="127" t="s">
        <v>2108</v>
      </c>
      <c r="J252" s="127" t="s">
        <v>1849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1739</v>
      </c>
      <c r="AA252" s="79"/>
    </row>
    <row r="253" spans="1:27">
      <c r="A253" s="142" t="s">
        <v>4230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4226</v>
      </c>
      <c r="H253" s="127" t="s">
        <v>4229</v>
      </c>
      <c r="I253" s="127" t="s">
        <v>4228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1739</v>
      </c>
      <c r="AA253" s="79"/>
    </row>
    <row r="254" spans="1:27">
      <c r="A254" s="142" t="s">
        <v>4227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4226</v>
      </c>
      <c r="H254" s="127" t="s">
        <v>375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1487</v>
      </c>
      <c r="AA254" s="79"/>
    </row>
    <row r="255" spans="1:27">
      <c r="A255" s="96" t="s">
        <v>4225</v>
      </c>
      <c r="B255" s="83" t="str">
        <f t="shared" si="48"/>
        <v>LAST_KATSUDO_DATE</v>
      </c>
      <c r="C255" s="87" t="s">
        <v>1483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3624</v>
      </c>
      <c r="H255" s="127" t="s">
        <v>3853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1739</v>
      </c>
      <c r="AA255" s="79"/>
    </row>
    <row r="256" spans="1:27">
      <c r="A256" s="96" t="s">
        <v>4224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3646</v>
      </c>
      <c r="H256" s="127" t="s">
        <v>4223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1739</v>
      </c>
      <c r="AA256" s="79"/>
    </row>
    <row r="257" spans="1:27">
      <c r="A257" s="96" t="s">
        <v>4222</v>
      </c>
      <c r="B257" s="83" t="str">
        <f t="shared" si="48"/>
        <v>CREATE_BY</v>
      </c>
      <c r="C257" s="87" t="s">
        <v>4221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4220</v>
      </c>
      <c r="H257" s="127" t="s">
        <v>2084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1487</v>
      </c>
      <c r="AA257" s="79"/>
    </row>
    <row r="258" spans="1:27">
      <c r="A258" s="96" t="s">
        <v>4219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1483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4218</v>
      </c>
      <c r="H258" s="127" t="s">
        <v>3361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1739</v>
      </c>
      <c r="AA258" s="79"/>
    </row>
    <row r="259" spans="1:27">
      <c r="A259" s="96" t="s">
        <v>4217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4216</v>
      </c>
      <c r="H259" s="127" t="s">
        <v>190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1739</v>
      </c>
      <c r="AA259" s="79"/>
    </row>
    <row r="260" spans="1:27">
      <c r="A260" s="145" t="s">
        <v>4215</v>
      </c>
      <c r="B260" s="83" t="str">
        <f t="shared" si="64"/>
        <v>JIKAI_PLAN_NYURYOKUZUMI_FLG</v>
      </c>
      <c r="C260" s="87" t="s">
        <v>1728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3518</v>
      </c>
      <c r="H260" s="127" t="s">
        <v>2274</v>
      </c>
      <c r="I260" s="127" t="s">
        <v>4214</v>
      </c>
      <c r="J260" s="127" t="s">
        <v>465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1739</v>
      </c>
      <c r="AA260" s="79"/>
    </row>
    <row r="261" spans="1:27">
      <c r="A261" s="145" t="s">
        <v>4213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3518</v>
      </c>
      <c r="H261" s="127" t="s">
        <v>244</v>
      </c>
      <c r="I261" s="127" t="s">
        <v>2274</v>
      </c>
      <c r="J261" s="127" t="s">
        <v>2428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1487</v>
      </c>
      <c r="AA261" s="79"/>
    </row>
    <row r="262" spans="1:27">
      <c r="A262" s="145" t="s">
        <v>4212</v>
      </c>
      <c r="B262" s="83" t="str">
        <f t="shared" si="64"/>
        <v>JIKAI_HOMON_PLAN_DATE</v>
      </c>
      <c r="C262" s="87" t="s">
        <v>1483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3518</v>
      </c>
      <c r="H262" s="127" t="s">
        <v>244</v>
      </c>
      <c r="I262" s="127" t="s">
        <v>4211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1739</v>
      </c>
      <c r="AA262" s="79"/>
    </row>
    <row r="263" spans="1:27">
      <c r="A263" s="145" t="s">
        <v>4210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3518</v>
      </c>
      <c r="H263" s="127" t="s">
        <v>244</v>
      </c>
      <c r="I263" s="127" t="s">
        <v>4209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1739</v>
      </c>
      <c r="AA263" s="79"/>
    </row>
    <row r="264" spans="1:27">
      <c r="A264" s="143" t="s">
        <v>4208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3023</v>
      </c>
      <c r="H264" s="127" t="s">
        <v>4207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1739</v>
      </c>
      <c r="AA264" s="79"/>
    </row>
    <row r="265" spans="1:27">
      <c r="A265" s="137" t="s">
        <v>4206</v>
      </c>
      <c r="B265" s="83" t="str">
        <f t="shared" si="64"/>
        <v>JINENDO_TAISEN_LMTCST</v>
      </c>
      <c r="C265" s="87" t="s">
        <v>753</v>
      </c>
      <c r="D265" s="82" t="str">
        <f t="shared" si="65"/>
        <v>Number</v>
      </c>
      <c r="E265" s="82">
        <f t="shared" si="66"/>
        <v>11</v>
      </c>
      <c r="F265" s="82" t="str">
        <f t="shared" si="67"/>
        <v/>
      </c>
      <c r="G265" s="128" t="s">
        <v>4204</v>
      </c>
      <c r="H265" s="127" t="s">
        <v>4180</v>
      </c>
      <c r="I265" s="127" t="s">
        <v>3177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379</v>
      </c>
      <c r="AA265" s="79"/>
    </row>
    <row r="266" spans="1:27">
      <c r="A266" s="137" t="s">
        <v>4205</v>
      </c>
      <c r="B266" s="83" t="str">
        <f t="shared" si="64"/>
        <v>JINENDO_TESURYO_RT</v>
      </c>
      <c r="C266" s="87" t="s">
        <v>2465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4204</v>
      </c>
      <c r="H266" s="127" t="s">
        <v>4177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1739</v>
      </c>
      <c r="AA266" s="79"/>
    </row>
    <row r="267" spans="1:27">
      <c r="A267" s="138" t="s">
        <v>4203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432</v>
      </c>
      <c r="H267" s="127" t="s">
        <v>850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1739</v>
      </c>
      <c r="AA267" s="79"/>
    </row>
    <row r="268" spans="1:27">
      <c r="A268" s="96" t="s">
        <v>4202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4200</v>
      </c>
      <c r="H268" s="127" t="s">
        <v>2869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1739</v>
      </c>
      <c r="AA268" s="79"/>
    </row>
    <row r="269" spans="1:27">
      <c r="A269" s="96" t="s">
        <v>4201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4200</v>
      </c>
      <c r="H269" s="127" t="s">
        <v>2874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1739</v>
      </c>
      <c r="AA269" s="79"/>
    </row>
    <row r="270" spans="1:27">
      <c r="A270" s="96" t="s">
        <v>4199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4197</v>
      </c>
      <c r="H270" s="127" t="s">
        <v>2869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1739</v>
      </c>
      <c r="AA270" s="79"/>
    </row>
    <row r="271" spans="1:27">
      <c r="A271" s="96" t="s">
        <v>4198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4197</v>
      </c>
      <c r="H271" s="127" t="s">
        <v>2874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1739</v>
      </c>
      <c r="AA271" s="79"/>
    </row>
    <row r="272" spans="1:27">
      <c r="A272" s="96" t="s">
        <v>4196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1739</v>
      </c>
      <c r="AA272" s="79"/>
    </row>
    <row r="273" spans="1:27">
      <c r="A273" s="96" t="s">
        <v>4195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668</v>
      </c>
      <c r="H273" s="127" t="s">
        <v>656</v>
      </c>
      <c r="I273" s="127" t="s">
        <v>341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1739</v>
      </c>
      <c r="AA273" s="79"/>
    </row>
    <row r="274" spans="1:27">
      <c r="A274" s="96" t="s">
        <v>4194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4192</v>
      </c>
      <c r="H274" s="127" t="s">
        <v>4148</v>
      </c>
      <c r="I274" s="127" t="s">
        <v>2190</v>
      </c>
      <c r="J274" s="127" t="s">
        <v>2042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1739</v>
      </c>
      <c r="AA274" s="79"/>
    </row>
    <row r="275" spans="1:27">
      <c r="A275" s="96" t="s">
        <v>4193</v>
      </c>
      <c r="B275" s="83" t="str">
        <f t="shared" si="64"/>
        <v>JUTAKUSHIKIN_KEISAN_FLG</v>
      </c>
      <c r="C275" s="87" t="s">
        <v>1728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4192</v>
      </c>
      <c r="H275" s="127" t="s">
        <v>1292</v>
      </c>
      <c r="I275" s="127" t="s">
        <v>465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1739</v>
      </c>
      <c r="AA275" s="79"/>
    </row>
    <row r="276" spans="1:27">
      <c r="A276" s="96" t="s">
        <v>4191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668</v>
      </c>
      <c r="H276" s="127" t="s">
        <v>3016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1739</v>
      </c>
      <c r="AA276" s="79"/>
    </row>
    <row r="277" spans="1:27">
      <c r="A277" s="96" t="s">
        <v>4190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2681</v>
      </c>
      <c r="H277" s="127" t="s">
        <v>4189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1739</v>
      </c>
      <c r="AA277" s="79"/>
    </row>
    <row r="278" spans="1:27">
      <c r="A278" s="145" t="s">
        <v>4188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2207</v>
      </c>
      <c r="H278" s="127" t="s">
        <v>4187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1739</v>
      </c>
      <c r="AA278" s="79"/>
    </row>
    <row r="279" spans="1:27">
      <c r="A279" s="165" t="s">
        <v>4186</v>
      </c>
      <c r="B279" s="83" t="str">
        <f t="shared" si="64"/>
        <v>OUTPUT_ILST</v>
      </c>
      <c r="C279" s="87" t="s">
        <v>4185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722</v>
      </c>
      <c r="H279" s="127" t="s">
        <v>2551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1739</v>
      </c>
      <c r="AA279" s="79"/>
    </row>
    <row r="280" spans="1:27">
      <c r="A280" s="180" t="s">
        <v>2798</v>
      </c>
      <c r="B280" s="83" t="str">
        <f t="shared" si="64"/>
        <v>SHOHIN_CD</v>
      </c>
      <c r="C280" s="87" t="s">
        <v>2798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733</v>
      </c>
      <c r="H280" s="127" t="s">
        <v>183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1739</v>
      </c>
      <c r="AA280" s="79"/>
    </row>
    <row r="281" spans="1:27">
      <c r="A281" s="144" t="s">
        <v>4184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2620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1739</v>
      </c>
      <c r="AA281" s="79"/>
    </row>
    <row r="282" spans="1:27">
      <c r="A282" s="96" t="s">
        <v>4183</v>
      </c>
      <c r="B282" s="83" t="str">
        <f t="shared" si="64"/>
        <v>SALES_OFFICE_NAME</v>
      </c>
      <c r="C282" s="87" t="s">
        <v>4182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3346</v>
      </c>
      <c r="H282" s="127" t="s">
        <v>2139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1739</v>
      </c>
      <c r="AA282" s="79"/>
    </row>
    <row r="283" spans="1:27">
      <c r="A283" s="137" t="s">
        <v>4181</v>
      </c>
      <c r="B283" s="83" t="str">
        <f t="shared" si="64"/>
        <v>SHONENDO_TAISEN_LMTCST</v>
      </c>
      <c r="C283" s="87" t="s">
        <v>753</v>
      </c>
      <c r="D283" s="82" t="str">
        <f t="shared" si="65"/>
        <v>Number</v>
      </c>
      <c r="E283" s="82">
        <f t="shared" si="66"/>
        <v>11</v>
      </c>
      <c r="F283" s="82" t="str">
        <f t="shared" si="67"/>
        <v/>
      </c>
      <c r="G283" s="128" t="s">
        <v>4178</v>
      </c>
      <c r="H283" s="127" t="s">
        <v>4180</v>
      </c>
      <c r="I283" s="127" t="s">
        <v>3177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379</v>
      </c>
      <c r="AA283" s="79"/>
    </row>
    <row r="284" spans="1:27">
      <c r="A284" s="137" t="s">
        <v>4179</v>
      </c>
      <c r="B284" s="83" t="str">
        <f t="shared" si="64"/>
        <v>SHONENDO_TESURYO_RT</v>
      </c>
      <c r="C284" s="87" t="s">
        <v>2465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4178</v>
      </c>
      <c r="H284" s="127" t="s">
        <v>4177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1739</v>
      </c>
      <c r="AA284" s="79"/>
    </row>
    <row r="285" spans="1:27">
      <c r="A285" s="96" t="s">
        <v>4176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839</v>
      </c>
      <c r="H285" s="127" t="s">
        <v>2551</v>
      </c>
      <c r="I285" s="127" t="s">
        <v>2844</v>
      </c>
      <c r="J285" s="127" t="s">
        <v>1849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1739</v>
      </c>
      <c r="AA285" s="79"/>
    </row>
    <row r="286" spans="1:27">
      <c r="A286" s="96" t="s">
        <v>4175</v>
      </c>
      <c r="B286" s="83" t="str">
        <f t="shared" si="64"/>
        <v>SEIJIMBYO_UMU_FLG</v>
      </c>
      <c r="C286" s="87" t="s">
        <v>1728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4173</v>
      </c>
      <c r="H286" s="127" t="s">
        <v>341</v>
      </c>
      <c r="I286" s="127" t="s">
        <v>465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1739</v>
      </c>
      <c r="AA286" s="79"/>
    </row>
    <row r="287" spans="1:27">
      <c r="A287" s="96" t="s">
        <v>4174</v>
      </c>
      <c r="B287" s="83" t="str">
        <f t="shared" si="64"/>
        <v>SEIJIMBYO_UMU_FLG_SPOUSE</v>
      </c>
      <c r="C287" s="87" t="s">
        <v>1728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4173</v>
      </c>
      <c r="H287" s="127" t="s">
        <v>341</v>
      </c>
      <c r="I287" s="127" t="s">
        <v>465</v>
      </c>
      <c r="J287" s="127" t="s">
        <v>1227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1739</v>
      </c>
      <c r="AA287" s="79"/>
    </row>
    <row r="288" spans="1:27">
      <c r="A288" s="96" t="s">
        <v>4172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4170</v>
      </c>
      <c r="H288" s="127" t="s">
        <v>2869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1739</v>
      </c>
      <c r="AA288" s="79"/>
    </row>
    <row r="289" spans="1:27">
      <c r="A289" s="96" t="s">
        <v>4171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4170</v>
      </c>
      <c r="H289" s="127" t="s">
        <v>2874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1739</v>
      </c>
      <c r="AA289" s="79"/>
    </row>
    <row r="290" spans="1:27">
      <c r="A290" s="96" t="s">
        <v>1619</v>
      </c>
      <c r="B290" s="83" t="str">
        <f t="shared" si="64"/>
        <v>SEX_CD</v>
      </c>
      <c r="C290" s="266" t="s">
        <v>7021</v>
      </c>
      <c r="D290" s="82" t="str">
        <f t="shared" si="65"/>
        <v>Char</v>
      </c>
      <c r="E290" s="82">
        <f t="shared" si="66"/>
        <v>1</v>
      </c>
      <c r="F290" s="82" t="str">
        <f t="shared" si="67"/>
        <v/>
      </c>
      <c r="G290" s="128" t="s">
        <v>129</v>
      </c>
      <c r="H290" s="127" t="s">
        <v>1737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1739</v>
      </c>
      <c r="AA290" s="267" t="s">
        <v>7025</v>
      </c>
    </row>
    <row r="291" spans="1:27">
      <c r="A291" s="96" t="s">
        <v>4169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2299</v>
      </c>
      <c r="H291" s="127" t="s">
        <v>656</v>
      </c>
      <c r="I291" s="127" t="s">
        <v>341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1739</v>
      </c>
      <c r="AA291" s="79"/>
    </row>
    <row r="292" spans="1:27">
      <c r="A292" s="96" t="s">
        <v>4168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2299</v>
      </c>
      <c r="H292" s="127" t="s">
        <v>444</v>
      </c>
      <c r="I292" s="127" t="s">
        <v>2480</v>
      </c>
      <c r="J292" s="127" t="s">
        <v>843</v>
      </c>
      <c r="K292" s="127" t="s">
        <v>341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1739</v>
      </c>
      <c r="AA292" s="79"/>
    </row>
    <row r="293" spans="1:27">
      <c r="A293" s="96" t="s">
        <v>4167</v>
      </c>
      <c r="B293" s="83" t="str">
        <f t="shared" si="64"/>
        <v>SECONDLIFE_SHIKIN_KEISAN_FLG</v>
      </c>
      <c r="C293" s="87" t="s">
        <v>1728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2299</v>
      </c>
      <c r="H293" s="127" t="s">
        <v>444</v>
      </c>
      <c r="I293" s="127" t="s">
        <v>1292</v>
      </c>
      <c r="J293" s="127" t="s">
        <v>465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1739</v>
      </c>
      <c r="AA293" s="79"/>
    </row>
    <row r="294" spans="1:27">
      <c r="A294" s="96" t="s">
        <v>4166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2299</v>
      </c>
      <c r="H294" s="127" t="s">
        <v>3016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1739</v>
      </c>
      <c r="AA294" s="79"/>
    </row>
    <row r="295" spans="1:27">
      <c r="A295" s="144" t="s">
        <v>4165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2299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1739</v>
      </c>
      <c r="AA295" s="79"/>
    </row>
    <row r="296" spans="1:27">
      <c r="A296" s="144" t="s">
        <v>4164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2299</v>
      </c>
      <c r="H296" s="127" t="s">
        <v>2572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1739</v>
      </c>
      <c r="AA296" s="79"/>
    </row>
    <row r="297" spans="1:27">
      <c r="A297" s="96" t="s">
        <v>4163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2299</v>
      </c>
      <c r="H297" s="127" t="s">
        <v>2572</v>
      </c>
      <c r="I297" s="127" t="s">
        <v>1314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1487</v>
      </c>
      <c r="AA297" s="79"/>
    </row>
    <row r="298" spans="1:27">
      <c r="A298" s="179" t="s">
        <v>4162</v>
      </c>
      <c r="B298" s="83" t="str">
        <f t="shared" si="64"/>
        <v>ILST_CREATE_DATE</v>
      </c>
      <c r="C298" s="87" t="s">
        <v>1483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2551</v>
      </c>
      <c r="H298" s="127" t="s">
        <v>4161</v>
      </c>
      <c r="I298" s="127" t="s">
        <v>553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1487</v>
      </c>
      <c r="AA298" s="79"/>
    </row>
    <row r="299" spans="1:27">
      <c r="A299" s="96" t="s">
        <v>4160</v>
      </c>
      <c r="B299" s="83" t="str">
        <f t="shared" si="64"/>
        <v>SETSURITSU_NENGAPPI</v>
      </c>
      <c r="C299" s="87" t="s">
        <v>1483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4159</v>
      </c>
      <c r="H299" s="127" t="s">
        <v>2518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1739</v>
      </c>
      <c r="AA299" s="79"/>
    </row>
    <row r="300" spans="1:27">
      <c r="A300" s="176" t="s">
        <v>4158</v>
      </c>
      <c r="B300" s="83" t="str">
        <f t="shared" si="64"/>
        <v>ZENKI_TANKI_HANTEI_FLG</v>
      </c>
      <c r="C300" s="87" t="s">
        <v>1728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1231</v>
      </c>
      <c r="H300" s="127" t="s">
        <v>3070</v>
      </c>
      <c r="I300" s="127" t="s">
        <v>739</v>
      </c>
      <c r="J300" s="127" t="s">
        <v>465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1739</v>
      </c>
      <c r="AA300" s="79"/>
    </row>
    <row r="301" spans="1:27">
      <c r="A301" s="96" t="s">
        <v>4157</v>
      </c>
      <c r="B301" s="83" t="str">
        <f t="shared" si="64"/>
        <v>ADV_CT</v>
      </c>
      <c r="C301" s="87" t="s">
        <v>4157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4156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1739</v>
      </c>
      <c r="AA301" s="79"/>
    </row>
    <row r="302" spans="1:27">
      <c r="A302" s="96" t="s">
        <v>4155</v>
      </c>
      <c r="B302" s="83" t="str">
        <f t="shared" si="64"/>
        <v>ADV_RT</v>
      </c>
      <c r="C302" s="87" t="s">
        <v>4155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4154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1487</v>
      </c>
      <c r="AA302" s="79"/>
    </row>
    <row r="303" spans="1:27">
      <c r="A303" s="96" t="s">
        <v>4153</v>
      </c>
      <c r="B303" s="83" t="str">
        <f t="shared" si="64"/>
        <v>SOGYO_NENGAPPI</v>
      </c>
      <c r="C303" s="87" t="s">
        <v>1483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4152</v>
      </c>
      <c r="H303" s="127" t="s">
        <v>2518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1739</v>
      </c>
      <c r="AA303" s="79"/>
    </row>
    <row r="304" spans="1:27">
      <c r="A304" s="96" t="s">
        <v>4151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3061</v>
      </c>
      <c r="H304" s="127" t="s">
        <v>3016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1739</v>
      </c>
      <c r="AA304" s="79"/>
    </row>
    <row r="305" spans="1:27">
      <c r="A305" s="96" t="s">
        <v>4150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207</v>
      </c>
      <c r="H305" s="127" t="s">
        <v>2388</v>
      </c>
      <c r="I305" s="127" t="s">
        <v>656</v>
      </c>
      <c r="J305" s="127" t="s">
        <v>341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1739</v>
      </c>
      <c r="AA305" s="79"/>
    </row>
    <row r="306" spans="1:27">
      <c r="A306" s="96" t="s">
        <v>4149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207</v>
      </c>
      <c r="H306" s="127" t="s">
        <v>2388</v>
      </c>
      <c r="I306" s="127" t="s">
        <v>444</v>
      </c>
      <c r="J306" s="127" t="s">
        <v>4148</v>
      </c>
      <c r="K306" s="127" t="s">
        <v>2190</v>
      </c>
      <c r="L306" s="132" t="s">
        <v>2042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1739</v>
      </c>
      <c r="AA306" s="79"/>
    </row>
    <row r="307" spans="1:27">
      <c r="A307" s="96" t="s">
        <v>4147</v>
      </c>
      <c r="B307" s="83" t="str">
        <f t="shared" si="64"/>
        <v>OTHER_KEIKAKU_SHIKIN_KEISAN_FLG</v>
      </c>
      <c r="C307" s="87" t="s">
        <v>1728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207</v>
      </c>
      <c r="H307" s="127" t="s">
        <v>2388</v>
      </c>
      <c r="I307" s="127" t="s">
        <v>444</v>
      </c>
      <c r="J307" s="127" t="s">
        <v>1292</v>
      </c>
      <c r="K307" s="127" t="s">
        <v>465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1739</v>
      </c>
      <c r="AA307" s="79"/>
    </row>
    <row r="308" spans="1:27">
      <c r="A308" s="96" t="s">
        <v>4146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207</v>
      </c>
      <c r="H308" s="127" t="s">
        <v>2388</v>
      </c>
      <c r="I308" s="127" t="s">
        <v>3016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1739</v>
      </c>
      <c r="AA308" s="79"/>
    </row>
    <row r="309" spans="1:27">
      <c r="A309" s="96" t="s">
        <v>207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207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1739</v>
      </c>
      <c r="AA309" s="79"/>
    </row>
    <row r="310" spans="1:27">
      <c r="A310" s="178" t="s">
        <v>4145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207</v>
      </c>
      <c r="H310" s="127" t="s">
        <v>375</v>
      </c>
      <c r="I310" s="127" t="s">
        <v>2608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1739</v>
      </c>
      <c r="AA310" s="79"/>
    </row>
    <row r="311" spans="1:27">
      <c r="A311" s="145" t="s">
        <v>4144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207</v>
      </c>
      <c r="H311" s="127" t="s">
        <v>298</v>
      </c>
      <c r="I311" s="127" t="s">
        <v>183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1739</v>
      </c>
      <c r="AA311" s="79"/>
    </row>
    <row r="312" spans="1:27">
      <c r="A312" s="96" t="s">
        <v>4143</v>
      </c>
      <c r="B312" s="83" t="str">
        <f t="shared" si="64"/>
        <v>OTHER_KEIKAKU_FLG</v>
      </c>
      <c r="C312" s="87" t="s">
        <v>1728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207</v>
      </c>
      <c r="H312" s="127" t="s">
        <v>2388</v>
      </c>
      <c r="I312" s="127" t="s">
        <v>465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1739</v>
      </c>
      <c r="AA312" s="79"/>
    </row>
    <row r="313" spans="1:27">
      <c r="A313" s="96" t="s">
        <v>4142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207</v>
      </c>
      <c r="H313" s="127" t="s">
        <v>2388</v>
      </c>
      <c r="I313" s="127" t="s">
        <v>2572</v>
      </c>
      <c r="J313" s="127" t="s">
        <v>1314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1739</v>
      </c>
      <c r="AA313" s="79"/>
    </row>
    <row r="314" spans="1:27">
      <c r="A314" s="96" t="s">
        <v>4141</v>
      </c>
      <c r="B314" s="83" t="str">
        <f t="shared" si="64"/>
        <v>OTHER_SHISAN_BAIKYAKU_UMU_FLG</v>
      </c>
      <c r="C314" s="87" t="s">
        <v>1728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207</v>
      </c>
      <c r="H314" s="127" t="s">
        <v>1014</v>
      </c>
      <c r="I314" s="127" t="s">
        <v>2565</v>
      </c>
      <c r="J314" s="127" t="s">
        <v>341</v>
      </c>
      <c r="K314" s="127" t="s">
        <v>465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1739</v>
      </c>
      <c r="AA314" s="79"/>
    </row>
    <row r="315" spans="1:27">
      <c r="A315" s="151" t="s">
        <v>4140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207</v>
      </c>
      <c r="H315" s="127" t="s">
        <v>2681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1739</v>
      </c>
      <c r="AA315" s="79"/>
    </row>
    <row r="316" spans="1:27">
      <c r="A316" s="151" t="s">
        <v>4139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207</v>
      </c>
      <c r="H316" s="127" t="s">
        <v>2681</v>
      </c>
      <c r="I316" s="127" t="s">
        <v>864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1739</v>
      </c>
      <c r="AA316" s="79"/>
    </row>
    <row r="317" spans="1:27">
      <c r="A317" s="96" t="s">
        <v>4138</v>
      </c>
      <c r="B317" s="83" t="str">
        <f t="shared" si="64"/>
        <v>OTHER_HOYU_SHISAN_UMU_FLG</v>
      </c>
      <c r="C317" s="87" t="s">
        <v>1728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207</v>
      </c>
      <c r="H317" s="127" t="s">
        <v>4137</v>
      </c>
      <c r="I317" s="127" t="s">
        <v>1014</v>
      </c>
      <c r="J317" s="127" t="s">
        <v>341</v>
      </c>
      <c r="K317" s="127" t="s">
        <v>465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1739</v>
      </c>
      <c r="AA317" s="79"/>
    </row>
    <row r="318" spans="1:27">
      <c r="A318" s="138" t="s">
        <v>4136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207</v>
      </c>
      <c r="H318" s="127" t="s">
        <v>278</v>
      </c>
      <c r="I318" s="127" t="s">
        <v>2669</v>
      </c>
      <c r="J318" s="127" t="s">
        <v>2117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1739</v>
      </c>
      <c r="AA318" s="79"/>
    </row>
    <row r="319" spans="1:27">
      <c r="A319" s="138" t="s">
        <v>4135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207</v>
      </c>
      <c r="H319" s="127" t="s">
        <v>278</v>
      </c>
      <c r="I319" s="127" t="s">
        <v>3491</v>
      </c>
      <c r="J319" s="127" t="s">
        <v>3490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1739</v>
      </c>
      <c r="AA319" s="79"/>
    </row>
    <row r="320" spans="1:27">
      <c r="A320" s="157" t="s">
        <v>4134</v>
      </c>
      <c r="B320" s="83" t="str">
        <f t="shared" si="64"/>
        <v>TARGET_MONTH_1</v>
      </c>
      <c r="C320" s="87" t="s">
        <v>2019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4131</v>
      </c>
      <c r="H320" s="127" t="s">
        <v>2261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1739</v>
      </c>
      <c r="AA320" s="79"/>
    </row>
    <row r="321" spans="1:27">
      <c r="A321" s="157" t="s">
        <v>4133</v>
      </c>
      <c r="B321" s="83" t="str">
        <f t="shared" si="64"/>
        <v>TARGET_MONTH_2</v>
      </c>
      <c r="C321" s="87" t="s">
        <v>2019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4131</v>
      </c>
      <c r="H321" s="127" t="s">
        <v>2261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1739</v>
      </c>
      <c r="AA321" s="79"/>
    </row>
    <row r="322" spans="1:27">
      <c r="A322" s="157" t="s">
        <v>4132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2019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4131</v>
      </c>
      <c r="H322" s="127" t="s">
        <v>2261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1739</v>
      </c>
      <c r="AA322" s="79"/>
    </row>
    <row r="323" spans="1:27">
      <c r="A323" s="133" t="s">
        <v>6471</v>
      </c>
      <c r="B323" s="83" t="str">
        <f t="shared" si="80"/>
        <v>TARGET_CUST_ID</v>
      </c>
      <c r="C323" s="87" t="s">
        <v>3995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4131</v>
      </c>
      <c r="H323" s="127" t="s">
        <v>2669</v>
      </c>
      <c r="I323" s="127" t="s">
        <v>746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1101</v>
      </c>
      <c r="AA323" s="79"/>
    </row>
    <row r="324" spans="1:27">
      <c r="A324" s="96" t="s">
        <v>4130</v>
      </c>
      <c r="B324" s="83" t="str">
        <f t="shared" si="80"/>
        <v>AGENCY_NAME</v>
      </c>
      <c r="C324" s="87" t="s">
        <v>4129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4128</v>
      </c>
      <c r="H324" s="127" t="s">
        <v>1403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1739</v>
      </c>
      <c r="AA324" s="79"/>
    </row>
    <row r="325" spans="1:27">
      <c r="A325" s="135" t="s">
        <v>4127</v>
      </c>
      <c r="B325" s="83" t="str">
        <f t="shared" si="80"/>
        <v>DMY_AGENT_FLG</v>
      </c>
      <c r="C325" s="87" t="s">
        <v>1728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4126</v>
      </c>
      <c r="H325" s="127" t="s">
        <v>1891</v>
      </c>
      <c r="I325" s="127" t="s">
        <v>465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1739</v>
      </c>
      <c r="AA325" s="79"/>
    </row>
    <row r="326" spans="1:27">
      <c r="A326" s="145" t="s">
        <v>4125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2617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1739</v>
      </c>
      <c r="AA326" s="79"/>
    </row>
    <row r="327" spans="1:27">
      <c r="A327" s="157" t="s">
        <v>4124</v>
      </c>
      <c r="B327" s="83" t="str">
        <f t="shared" si="80"/>
        <v>TERMINAL_ID</v>
      </c>
      <c r="C327" s="87" t="s">
        <v>4124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4123</v>
      </c>
      <c r="H327" s="127" t="s">
        <v>746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182</v>
      </c>
      <c r="AA327" s="79"/>
    </row>
    <row r="328" spans="1:27">
      <c r="A328" s="143" t="s">
        <v>4122</v>
      </c>
      <c r="B328" s="83" t="str">
        <f t="shared" si="80"/>
        <v>SALES_CHNL_KB</v>
      </c>
      <c r="C328" s="87" t="s">
        <v>180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1466</v>
      </c>
      <c r="H328" s="127" t="s">
        <v>4121</v>
      </c>
      <c r="I328" s="127" t="s">
        <v>1733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182</v>
      </c>
      <c r="AA328" s="79"/>
    </row>
    <row r="329" spans="1:27">
      <c r="A329" s="163" t="s">
        <v>4120</v>
      </c>
      <c r="B329" s="83" t="str">
        <f t="shared" si="80"/>
        <v>SALES_SUB_CHNL_KB</v>
      </c>
      <c r="C329" s="87" t="s">
        <v>180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1466</v>
      </c>
      <c r="H329" s="127" t="s">
        <v>563</v>
      </c>
      <c r="I329" s="127" t="s">
        <v>4119</v>
      </c>
      <c r="J329" s="127" t="s">
        <v>180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1746</v>
      </c>
      <c r="AA329" s="79"/>
    </row>
    <row r="330" spans="1:27">
      <c r="A330" s="96" t="s">
        <v>4118</v>
      </c>
      <c r="B330" s="83" t="str">
        <f t="shared" si="80"/>
        <v>NOTES</v>
      </c>
      <c r="C330" s="87" t="s">
        <v>2577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1739</v>
      </c>
      <c r="AA330" s="79"/>
    </row>
    <row r="331" spans="1:27">
      <c r="A331" s="144" t="s">
        <v>4117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4116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1739</v>
      </c>
      <c r="AA331" s="79"/>
    </row>
    <row r="332" spans="1:27">
      <c r="A332" s="177" t="s">
        <v>4115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4114</v>
      </c>
      <c r="H332" s="127" t="s">
        <v>183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1739</v>
      </c>
      <c r="AA332" s="79"/>
    </row>
    <row r="333" spans="1:27">
      <c r="A333" s="145" t="s">
        <v>4113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3605</v>
      </c>
      <c r="H333" s="127" t="s">
        <v>348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1487</v>
      </c>
      <c r="AA333" s="79"/>
    </row>
    <row r="334" spans="1:27">
      <c r="A334" s="96" t="s">
        <v>4112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3520</v>
      </c>
      <c r="H334" s="127" t="s">
        <v>4111</v>
      </c>
      <c r="I334" s="127" t="s">
        <v>1828</v>
      </c>
      <c r="J334" s="127" t="s">
        <v>183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1487</v>
      </c>
      <c r="AA334" s="79"/>
    </row>
    <row r="335" spans="1:27">
      <c r="A335" s="96" t="s">
        <v>4110</v>
      </c>
      <c r="B335" s="83" t="str">
        <f t="shared" si="80"/>
        <v>APPLY_DATE_FROM</v>
      </c>
      <c r="C335" s="87" t="s">
        <v>1483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2967</v>
      </c>
      <c r="H335" s="127" t="s">
        <v>1483</v>
      </c>
      <c r="I335" s="127" t="s">
        <v>1823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1487</v>
      </c>
      <c r="AA335" s="79"/>
    </row>
    <row r="336" spans="1:27">
      <c r="A336" s="96" t="s">
        <v>4109</v>
      </c>
      <c r="B336" s="83" t="str">
        <f t="shared" si="80"/>
        <v>APPLY_DATE_TO</v>
      </c>
      <c r="C336" s="87" t="s">
        <v>1483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2967</v>
      </c>
      <c r="H336" s="127" t="s">
        <v>1483</v>
      </c>
      <c r="I336" s="127" t="s">
        <v>2203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1419</v>
      </c>
      <c r="AA336" s="79"/>
    </row>
    <row r="337" spans="1:27">
      <c r="A337" s="144" t="s">
        <v>4108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834</v>
      </c>
      <c r="H337" s="127" t="s">
        <v>2871</v>
      </c>
      <c r="I337" s="127" t="s">
        <v>2876</v>
      </c>
      <c r="J337" s="127" t="s">
        <v>4107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1487</v>
      </c>
      <c r="AA337" s="79"/>
    </row>
    <row r="338" spans="1:27">
      <c r="A338" s="145" t="s">
        <v>4106</v>
      </c>
      <c r="B338" s="83" t="str">
        <f t="shared" si="80"/>
        <v>ENTRY_DATE</v>
      </c>
      <c r="C338" s="87" t="s">
        <v>1483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4032</v>
      </c>
      <c r="H338" s="127" t="s">
        <v>3361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1739</v>
      </c>
      <c r="AA338" s="79"/>
    </row>
    <row r="339" spans="1:27">
      <c r="A339" s="145" t="s">
        <v>4105</v>
      </c>
      <c r="B339" s="83" t="str">
        <f t="shared" si="80"/>
        <v>AGENT_ID</v>
      </c>
      <c r="C339" s="87" t="s">
        <v>6466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1891</v>
      </c>
      <c r="H339" s="127" t="s">
        <v>746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1746</v>
      </c>
      <c r="AA339" s="79"/>
    </row>
    <row r="340" spans="1:27">
      <c r="A340" s="96" t="s">
        <v>4104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1891</v>
      </c>
      <c r="H340" s="127" t="s">
        <v>215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1739</v>
      </c>
      <c r="AA340" s="79"/>
    </row>
    <row r="341" spans="1:27">
      <c r="A341" s="133" t="s">
        <v>4103</v>
      </c>
      <c r="B341" s="83" t="str">
        <f t="shared" si="80"/>
        <v>AGENT_NAME</v>
      </c>
      <c r="C341" s="87" t="s">
        <v>4102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1891</v>
      </c>
      <c r="H341" s="127" t="s">
        <v>728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1739</v>
      </c>
      <c r="AA341" s="79"/>
    </row>
    <row r="342" spans="1:27">
      <c r="A342" s="96" t="s">
        <v>4101</v>
      </c>
      <c r="B342" s="83" t="str">
        <f t="shared" si="80"/>
        <v>NYUIN_NICHIGAKU</v>
      </c>
      <c r="C342" s="87" t="s">
        <v>753</v>
      </c>
      <c r="D342" s="82" t="str">
        <f t="shared" si="81"/>
        <v>Number</v>
      </c>
      <c r="E342" s="82">
        <f t="shared" si="82"/>
        <v>11</v>
      </c>
      <c r="F342" s="82" t="str">
        <f t="shared" si="83"/>
        <v/>
      </c>
      <c r="G342" s="128" t="s">
        <v>4098</v>
      </c>
      <c r="H342" s="127" t="s">
        <v>2015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1739</v>
      </c>
      <c r="AA342" s="79"/>
    </row>
    <row r="343" spans="1:27">
      <c r="A343" s="96" t="s">
        <v>4100</v>
      </c>
      <c r="B343" s="83" t="str">
        <f t="shared" si="80"/>
        <v>NYUIN_NICHIGAKU_SPOUSE</v>
      </c>
      <c r="C343" s="87" t="s">
        <v>753</v>
      </c>
      <c r="D343" s="82" t="str">
        <f t="shared" si="81"/>
        <v>Number</v>
      </c>
      <c r="E343" s="82">
        <f t="shared" si="82"/>
        <v>11</v>
      </c>
      <c r="F343" s="82" t="str">
        <f t="shared" si="83"/>
        <v/>
      </c>
      <c r="G343" s="128" t="s">
        <v>4098</v>
      </c>
      <c r="H343" s="127" t="s">
        <v>2015</v>
      </c>
      <c r="I343" s="127" t="s">
        <v>1227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1739</v>
      </c>
      <c r="AA343" s="79"/>
    </row>
    <row r="344" spans="1:27">
      <c r="A344" s="159" t="s">
        <v>4099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4098</v>
      </c>
      <c r="H344" s="127" t="s">
        <v>1345</v>
      </c>
      <c r="I344" s="127" t="s">
        <v>4097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1739</v>
      </c>
      <c r="AA344" s="79"/>
    </row>
    <row r="345" spans="1:27">
      <c r="A345" s="144" t="s">
        <v>4096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4095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1739</v>
      </c>
      <c r="AA345" s="79"/>
    </row>
    <row r="346" spans="1:27">
      <c r="A346" s="96" t="s">
        <v>500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1914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1739</v>
      </c>
      <c r="AA346" s="79"/>
    </row>
    <row r="347" spans="1:27">
      <c r="A347" s="133" t="s">
        <v>4094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1914</v>
      </c>
      <c r="H347" s="127" t="s">
        <v>2492</v>
      </c>
      <c r="I347" s="127" t="s">
        <v>864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1739</v>
      </c>
      <c r="AA347" s="79"/>
    </row>
    <row r="348" spans="1:27">
      <c r="A348" s="96" t="s">
        <v>4093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1914</v>
      </c>
      <c r="H348" s="127" t="s">
        <v>2492</v>
      </c>
      <c r="I348" s="127" t="s">
        <v>193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1739</v>
      </c>
      <c r="AA348" s="79"/>
    </row>
    <row r="349" spans="1:27">
      <c r="A349" s="133" t="s">
        <v>4092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1914</v>
      </c>
      <c r="H349" s="127" t="s">
        <v>2929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1739</v>
      </c>
      <c r="AA349" s="79"/>
    </row>
    <row r="350" spans="1:27">
      <c r="A350" s="145" t="s">
        <v>4091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1914</v>
      </c>
      <c r="H350" s="127" t="s">
        <v>4090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1739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1739</v>
      </c>
      <c r="AA351" s="267" t="s">
        <v>6506</v>
      </c>
    </row>
    <row r="352" spans="1:27">
      <c r="A352" s="96" t="s">
        <v>4089</v>
      </c>
      <c r="B352" s="83" t="str">
        <f t="shared" si="80"/>
        <v>SPOUSE_YOCHOKIN_UMU_FLG</v>
      </c>
      <c r="C352" s="87" t="s">
        <v>1728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1227</v>
      </c>
      <c r="H352" s="127" t="s">
        <v>2254</v>
      </c>
      <c r="I352" s="127" t="s">
        <v>341</v>
      </c>
      <c r="J352" s="127" t="s">
        <v>465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1739</v>
      </c>
      <c r="AA352" s="79"/>
    </row>
    <row r="353" spans="1:27">
      <c r="A353" s="96" t="s">
        <v>4088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2624</v>
      </c>
      <c r="H353" s="127" t="s">
        <v>2495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1739</v>
      </c>
      <c r="AA353" s="79"/>
    </row>
    <row r="354" spans="1:27">
      <c r="A354" s="142" t="s">
        <v>4087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4087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1739</v>
      </c>
      <c r="AA354" s="79"/>
    </row>
    <row r="355" spans="1:27">
      <c r="A355" s="96" t="s">
        <v>4085</v>
      </c>
      <c r="B355" s="83" t="str">
        <f t="shared" si="80"/>
        <v>PASSWD</v>
      </c>
      <c r="C355" s="87" t="s">
        <v>4086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4085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1739</v>
      </c>
      <c r="AA355" s="79"/>
    </row>
    <row r="356" spans="1:27">
      <c r="A356" s="176" t="s">
        <v>1431</v>
      </c>
      <c r="B356" s="83" t="str">
        <f t="shared" si="80"/>
        <v>HARAIKOMIKIKAN</v>
      </c>
      <c r="C356" s="87" t="s">
        <v>1814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1739</v>
      </c>
      <c r="AA356" s="79"/>
    </row>
    <row r="357" spans="1:27">
      <c r="A357" s="137" t="s">
        <v>4084</v>
      </c>
      <c r="B357" s="83" t="str">
        <f t="shared" si="80"/>
        <v>HARAIKOMIKIKAN_FROM</v>
      </c>
      <c r="C357" s="87" t="s">
        <v>1814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1285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1739</v>
      </c>
      <c r="AA357" s="79"/>
    </row>
    <row r="358" spans="1:27">
      <c r="A358" s="137" t="s">
        <v>4083</v>
      </c>
      <c r="B358" s="83" t="str">
        <f t="shared" si="80"/>
        <v>HARAIKOMIKIKAN_TO</v>
      </c>
      <c r="C358" s="87" t="s">
        <v>1814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1282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1739</v>
      </c>
      <c r="AA358" s="79"/>
    </row>
    <row r="359" spans="1:27">
      <c r="A359" s="96" t="s">
        <v>4082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4026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182</v>
      </c>
      <c r="AA359" s="79"/>
    </row>
    <row r="360" spans="1:27">
      <c r="A360" s="175" t="s">
        <v>4081</v>
      </c>
      <c r="B360" s="83" t="str">
        <f t="shared" si="80"/>
        <v>HARAIKOMIHOHO_KB</v>
      </c>
      <c r="C360" s="87" t="s">
        <v>180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4080</v>
      </c>
      <c r="H360" s="127" t="s">
        <v>1733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1739</v>
      </c>
      <c r="AA360" s="79"/>
    </row>
    <row r="361" spans="1:27">
      <c r="A361" s="176" t="s">
        <v>4079</v>
      </c>
      <c r="B361" s="83" t="str">
        <f t="shared" si="80"/>
        <v>HARAIKOMI_HANTEI_FLG</v>
      </c>
      <c r="C361" s="87" t="s">
        <v>1728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2541</v>
      </c>
      <c r="H361" s="127" t="s">
        <v>4078</v>
      </c>
      <c r="I361" s="127" t="s">
        <v>465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1739</v>
      </c>
      <c r="AA361" s="79"/>
    </row>
    <row r="362" spans="1:27">
      <c r="A362" s="96" t="s">
        <v>4077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2525</v>
      </c>
      <c r="H362" s="127" t="s">
        <v>4076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1739</v>
      </c>
      <c r="AA362" s="79"/>
    </row>
    <row r="363" spans="1:27">
      <c r="A363" s="96" t="s">
        <v>4075</v>
      </c>
      <c r="B363" s="83" t="str">
        <f t="shared" si="80"/>
        <v>BIZ_DATE_FLG</v>
      </c>
      <c r="C363" s="87" t="s">
        <v>1728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4074</v>
      </c>
      <c r="H363" s="127" t="s">
        <v>3638</v>
      </c>
      <c r="I363" s="127" t="s">
        <v>465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1739</v>
      </c>
      <c r="AA363" s="79"/>
    </row>
    <row r="364" spans="1:27">
      <c r="A364" s="96" t="s">
        <v>4073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4072</v>
      </c>
      <c r="H364" s="127" t="s">
        <v>298</v>
      </c>
      <c r="I364" s="127" t="s">
        <v>4071</v>
      </c>
      <c r="J364" s="127" t="s">
        <v>183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1739</v>
      </c>
      <c r="AA364" s="79"/>
    </row>
    <row r="365" spans="1:27">
      <c r="A365" s="96" t="s">
        <v>4070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4068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1739</v>
      </c>
      <c r="AA365" s="79"/>
    </row>
    <row r="366" spans="1:27">
      <c r="A366" s="96" t="s">
        <v>4069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4068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1739</v>
      </c>
      <c r="AA366" s="79"/>
    </row>
    <row r="367" spans="1:27">
      <c r="A367" s="145" t="s">
        <v>4067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1643</v>
      </c>
      <c r="H367" s="127" t="s">
        <v>4066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1487</v>
      </c>
      <c r="AA367" s="79"/>
    </row>
    <row r="368" spans="1:27">
      <c r="A368" s="145" t="s">
        <v>4065</v>
      </c>
      <c r="B368" s="83" t="str">
        <f t="shared" si="80"/>
        <v>HYOJIYOHOMON_DATE</v>
      </c>
      <c r="C368" s="87" t="s">
        <v>1483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4064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1739</v>
      </c>
      <c r="AA368" s="79"/>
    </row>
    <row r="369" spans="1:27">
      <c r="A369" s="96" t="s">
        <v>4063</v>
      </c>
      <c r="B369" s="83" t="str">
        <f t="shared" si="80"/>
        <v>FAMILY_TOKUSOKU_CD</v>
      </c>
      <c r="C369" s="87" t="s">
        <v>4062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4061</v>
      </c>
      <c r="H369" s="127" t="s">
        <v>827</v>
      </c>
      <c r="I369" s="127" t="s">
        <v>183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1487</v>
      </c>
      <c r="AA369" s="79"/>
    </row>
    <row r="370" spans="1:27">
      <c r="A370" s="96" t="s">
        <v>4060</v>
      </c>
      <c r="B370" s="83" t="str">
        <f t="shared" si="80"/>
        <v>ＦＩＬTER_DATE</v>
      </c>
      <c r="C370" s="87" t="s">
        <v>1483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4059</v>
      </c>
      <c r="H370" s="127" t="s">
        <v>3638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1739</v>
      </c>
      <c r="AA370" s="79"/>
    </row>
    <row r="371" spans="1:27">
      <c r="A371" s="144" t="s">
        <v>4058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955</v>
      </c>
      <c r="H371" s="127" t="s">
        <v>2117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1739</v>
      </c>
      <c r="AA371" s="79"/>
    </row>
    <row r="372" spans="1:27">
      <c r="A372" s="96" t="s">
        <v>4057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955</v>
      </c>
      <c r="H372" s="127" t="s">
        <v>857</v>
      </c>
      <c r="I372" s="127" t="s">
        <v>183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1739</v>
      </c>
      <c r="AA372" s="79"/>
    </row>
    <row r="373" spans="1:27">
      <c r="A373" s="96" t="s">
        <v>4056</v>
      </c>
      <c r="B373" s="83" t="str">
        <f t="shared" si="80"/>
        <v>FREE_COLUMN_1</v>
      </c>
      <c r="C373" s="87" t="s">
        <v>4046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4045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1739</v>
      </c>
      <c r="AA373" s="79"/>
    </row>
    <row r="374" spans="1:27">
      <c r="A374" s="96" t="s">
        <v>4055</v>
      </c>
      <c r="B374" s="83" t="str">
        <f t="shared" si="80"/>
        <v>FREE_COLUMN_10</v>
      </c>
      <c r="C374" s="87" t="s">
        <v>4046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4045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1739</v>
      </c>
      <c r="AA374" s="79"/>
    </row>
    <row r="375" spans="1:27">
      <c r="A375" s="96" t="s">
        <v>4054</v>
      </c>
      <c r="B375" s="83" t="str">
        <f t="shared" si="80"/>
        <v>FREE_COLUMN_2</v>
      </c>
      <c r="C375" s="87" t="s">
        <v>4046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4045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1739</v>
      </c>
      <c r="AA375" s="79"/>
    </row>
    <row r="376" spans="1:27">
      <c r="A376" s="96" t="s">
        <v>4053</v>
      </c>
      <c r="B376" s="83" t="str">
        <f t="shared" si="80"/>
        <v>FREE_COLUMN_3</v>
      </c>
      <c r="C376" s="87" t="s">
        <v>4046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4045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1739</v>
      </c>
      <c r="AA376" s="79"/>
    </row>
    <row r="377" spans="1:27">
      <c r="A377" s="96" t="s">
        <v>4052</v>
      </c>
      <c r="B377" s="83" t="str">
        <f t="shared" si="80"/>
        <v>FREE_COLUMN_4</v>
      </c>
      <c r="C377" s="87" t="s">
        <v>4046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4045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1739</v>
      </c>
      <c r="AA377" s="79"/>
    </row>
    <row r="378" spans="1:27">
      <c r="A378" s="96" t="s">
        <v>4051</v>
      </c>
      <c r="B378" s="83" t="str">
        <f t="shared" si="80"/>
        <v>FREE_COLUMN_5</v>
      </c>
      <c r="C378" s="87" t="s">
        <v>4046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4045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1739</v>
      </c>
      <c r="AA378" s="79"/>
    </row>
    <row r="379" spans="1:27">
      <c r="A379" s="96" t="s">
        <v>4050</v>
      </c>
      <c r="B379" s="83" t="str">
        <f t="shared" si="80"/>
        <v>FREE_COLUMN_6</v>
      </c>
      <c r="C379" s="87" t="s">
        <v>4046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4045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1739</v>
      </c>
      <c r="AA379" s="79"/>
    </row>
    <row r="380" spans="1:27">
      <c r="A380" s="96" t="s">
        <v>4049</v>
      </c>
      <c r="B380" s="83" t="str">
        <f t="shared" si="80"/>
        <v>FREE_COLUMN_7</v>
      </c>
      <c r="C380" s="87" t="s">
        <v>4046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4045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1739</v>
      </c>
      <c r="AA380" s="79"/>
    </row>
    <row r="381" spans="1:27">
      <c r="A381" s="96" t="s">
        <v>4048</v>
      </c>
      <c r="B381" s="83" t="str">
        <f t="shared" si="80"/>
        <v>FREE_COLUMN_8</v>
      </c>
      <c r="C381" s="87" t="s">
        <v>4046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4045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1739</v>
      </c>
      <c r="AA381" s="79"/>
    </row>
    <row r="382" spans="1:27">
      <c r="A382" s="96" t="s">
        <v>4047</v>
      </c>
      <c r="B382" s="83" t="str">
        <f t="shared" si="80"/>
        <v>FREE_COLUMN_9</v>
      </c>
      <c r="C382" s="87" t="s">
        <v>4046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4045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1739</v>
      </c>
      <c r="AA382" s="79"/>
    </row>
    <row r="383" spans="1:27">
      <c r="A383" s="135" t="s">
        <v>4044</v>
      </c>
      <c r="B383" s="83" t="str">
        <f t="shared" si="80"/>
        <v>PROTECT_FLG</v>
      </c>
      <c r="C383" s="87" t="s">
        <v>1728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4043</v>
      </c>
      <c r="H383" s="127" t="s">
        <v>465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1739</v>
      </c>
      <c r="AA383" s="79"/>
    </row>
    <row r="384" spans="1:27">
      <c r="A384" s="96" t="s">
        <v>4042</v>
      </c>
      <c r="B384" s="83" t="str">
        <f t="shared" si="80"/>
        <v>PROPOSAL_FLG</v>
      </c>
      <c r="C384" s="87" t="s">
        <v>1728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4040</v>
      </c>
      <c r="H384" s="127" t="s">
        <v>465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1739</v>
      </c>
      <c r="AA384" s="79"/>
    </row>
    <row r="385" spans="1:27">
      <c r="A385" s="96" t="s">
        <v>4041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4040</v>
      </c>
      <c r="H385" s="127" t="s">
        <v>4039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1739</v>
      </c>
      <c r="AA385" s="79"/>
    </row>
    <row r="386" spans="1:27">
      <c r="A386" s="96" t="s">
        <v>4038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1345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4037</v>
      </c>
      <c r="H386" s="127" t="s">
        <v>4036</v>
      </c>
      <c r="I386" s="127" t="s">
        <v>1375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1739</v>
      </c>
      <c r="AA386" s="79"/>
    </row>
    <row r="387" spans="1:27">
      <c r="A387" s="96" t="s">
        <v>4035</v>
      </c>
      <c r="B387" s="83" t="str">
        <f t="shared" si="96"/>
        <v>HENGAKU_ENTRY_NO</v>
      </c>
      <c r="C387" s="87" t="s">
        <v>4034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4033</v>
      </c>
      <c r="H387" s="127" t="s">
        <v>4032</v>
      </c>
      <c r="I387" s="127" t="s">
        <v>1849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1739</v>
      </c>
      <c r="AA387" s="79"/>
    </row>
    <row r="388" spans="1:27">
      <c r="A388" s="96" t="s">
        <v>4031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195</v>
      </c>
      <c r="H388" s="127" t="s">
        <v>2117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1739</v>
      </c>
      <c r="AA388" s="79"/>
    </row>
    <row r="389" spans="1:27">
      <c r="A389" s="96" t="s">
        <v>4030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3300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1739</v>
      </c>
      <c r="AA389" s="79"/>
    </row>
    <row r="390" spans="1:27">
      <c r="A390" s="157" t="s">
        <v>4029</v>
      </c>
      <c r="B390" s="83" t="str">
        <f t="shared" si="96"/>
        <v>CORP_NAVIPLUS_ID</v>
      </c>
      <c r="C390" s="87" t="s">
        <v>6470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1928</v>
      </c>
      <c r="H390" s="127" t="s">
        <v>4028</v>
      </c>
      <c r="I390" s="127" t="s">
        <v>746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1739</v>
      </c>
      <c r="AA390" s="79"/>
    </row>
    <row r="391" spans="1:27">
      <c r="A391" s="176" t="s">
        <v>1707</v>
      </c>
      <c r="B391" s="83" t="str">
        <f t="shared" si="96"/>
        <v>HOKENKIKAN</v>
      </c>
      <c r="C391" s="87" t="s">
        <v>1814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1739</v>
      </c>
      <c r="AA391" s="79"/>
    </row>
    <row r="392" spans="1:27">
      <c r="A392" s="96" t="s">
        <v>4027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4026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1739</v>
      </c>
      <c r="AA392" s="79"/>
    </row>
    <row r="393" spans="1:27">
      <c r="A393" s="165" t="s">
        <v>2832</v>
      </c>
      <c r="B393" s="83" t="str">
        <f t="shared" si="96"/>
        <v>S</v>
      </c>
      <c r="C393" s="87" t="s">
        <v>753</v>
      </c>
      <c r="D393" s="82" t="str">
        <f t="shared" si="97"/>
        <v>Number</v>
      </c>
      <c r="E393" s="82">
        <f t="shared" si="98"/>
        <v>11</v>
      </c>
      <c r="F393" s="82" t="str">
        <f t="shared" si="99"/>
        <v/>
      </c>
      <c r="G393" s="128" t="s">
        <v>190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1739</v>
      </c>
      <c r="AA393" s="79"/>
    </row>
    <row r="394" spans="1:27">
      <c r="A394" s="175" t="s">
        <v>4025</v>
      </c>
      <c r="B394" s="83" t="str">
        <f t="shared" si="96"/>
        <v>S_FROM</v>
      </c>
      <c r="C394" s="87" t="s">
        <v>753</v>
      </c>
      <c r="D394" s="82" t="str">
        <f t="shared" si="97"/>
        <v>Number</v>
      </c>
      <c r="E394" s="82">
        <f t="shared" si="98"/>
        <v>11</v>
      </c>
      <c r="F394" s="82" t="str">
        <f t="shared" si="99"/>
        <v/>
      </c>
      <c r="G394" s="128" t="s">
        <v>190</v>
      </c>
      <c r="H394" s="127" t="s">
        <v>1285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1739</v>
      </c>
      <c r="AA394" s="79"/>
    </row>
    <row r="395" spans="1:27">
      <c r="A395" s="175" t="s">
        <v>4024</v>
      </c>
      <c r="B395" s="83" t="str">
        <f t="shared" si="96"/>
        <v>S_TO</v>
      </c>
      <c r="C395" s="87" t="s">
        <v>753</v>
      </c>
      <c r="D395" s="82" t="str">
        <f t="shared" si="97"/>
        <v>Number</v>
      </c>
      <c r="E395" s="82">
        <f t="shared" si="98"/>
        <v>11</v>
      </c>
      <c r="F395" s="82" t="str">
        <f t="shared" si="99"/>
        <v/>
      </c>
      <c r="G395" s="128" t="s">
        <v>190</v>
      </c>
      <c r="H395" s="127" t="s">
        <v>1282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1739</v>
      </c>
      <c r="AA395" s="79"/>
    </row>
    <row r="396" spans="1:27">
      <c r="A396" s="165" t="s">
        <v>4023</v>
      </c>
      <c r="B396" s="83" t="str">
        <f t="shared" si="96"/>
        <v>P</v>
      </c>
      <c r="C396" s="87" t="s">
        <v>753</v>
      </c>
      <c r="D396" s="82" t="str">
        <f t="shared" si="97"/>
        <v>Number</v>
      </c>
      <c r="E396" s="82">
        <f t="shared" si="98"/>
        <v>11</v>
      </c>
      <c r="F396" s="82" t="str">
        <f t="shared" si="99"/>
        <v/>
      </c>
      <c r="G396" s="128" t="s">
        <v>391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1739</v>
      </c>
      <c r="AA396" s="79"/>
    </row>
    <row r="397" spans="1:27">
      <c r="A397" s="137" t="s">
        <v>4022</v>
      </c>
      <c r="B397" s="83" t="str">
        <f t="shared" si="96"/>
        <v>P_FROM</v>
      </c>
      <c r="C397" s="87" t="s">
        <v>753</v>
      </c>
      <c r="D397" s="82" t="str">
        <f t="shared" si="97"/>
        <v>Number</v>
      </c>
      <c r="E397" s="82">
        <f t="shared" si="98"/>
        <v>11</v>
      </c>
      <c r="F397" s="82" t="str">
        <f t="shared" si="99"/>
        <v/>
      </c>
      <c r="G397" s="128" t="s">
        <v>391</v>
      </c>
      <c r="H397" s="127" t="s">
        <v>1285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1739</v>
      </c>
      <c r="AA397" s="79"/>
    </row>
    <row r="398" spans="1:27">
      <c r="A398" s="137" t="s">
        <v>4021</v>
      </c>
      <c r="B398" s="83" t="str">
        <f t="shared" si="96"/>
        <v>P_TO</v>
      </c>
      <c r="C398" s="87" t="s">
        <v>753</v>
      </c>
      <c r="D398" s="82" t="str">
        <f t="shared" si="97"/>
        <v>Number</v>
      </c>
      <c r="E398" s="82">
        <f t="shared" si="98"/>
        <v>11</v>
      </c>
      <c r="F398" s="82" t="str">
        <f t="shared" si="99"/>
        <v/>
      </c>
      <c r="G398" s="128" t="s">
        <v>391</v>
      </c>
      <c r="H398" s="127" t="s">
        <v>1282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1739</v>
      </c>
      <c r="AA398" s="79"/>
    </row>
    <row r="399" spans="1:27">
      <c r="A399" s="96" t="s">
        <v>4020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391</v>
      </c>
      <c r="H399" s="127" t="s">
        <v>349</v>
      </c>
      <c r="I399" s="127" t="s">
        <v>864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1739</v>
      </c>
      <c r="AA399" s="79"/>
    </row>
    <row r="400" spans="1:27">
      <c r="A400" s="96" t="s">
        <v>4019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815</v>
      </c>
      <c r="H400" s="127" t="s">
        <v>864</v>
      </c>
      <c r="I400" s="127" t="s">
        <v>751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1739</v>
      </c>
      <c r="AA400" s="79"/>
    </row>
    <row r="401" spans="1:27">
      <c r="A401" s="144" t="s">
        <v>4018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815</v>
      </c>
      <c r="H401" s="127" t="s">
        <v>414</v>
      </c>
      <c r="I401" s="127" t="s">
        <v>849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1739</v>
      </c>
      <c r="AA401" s="79"/>
    </row>
    <row r="402" spans="1:27">
      <c r="A402" s="165" t="s">
        <v>1441</v>
      </c>
      <c r="B402" s="83" t="str">
        <f t="shared" si="96"/>
        <v>HOSHO_CD</v>
      </c>
      <c r="C402" s="87" t="s">
        <v>1441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815</v>
      </c>
      <c r="H402" s="127" t="s">
        <v>183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1739</v>
      </c>
      <c r="AA402" s="79"/>
    </row>
    <row r="403" spans="1:27">
      <c r="A403" s="135" t="s">
        <v>4017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854</v>
      </c>
      <c r="H403" s="127" t="s">
        <v>900</v>
      </c>
      <c r="I403" s="127" t="s">
        <v>183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1739</v>
      </c>
      <c r="AA403" s="79"/>
    </row>
    <row r="404" spans="1:27">
      <c r="A404" s="135" t="s">
        <v>4016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854</v>
      </c>
      <c r="H404" s="127" t="s">
        <v>900</v>
      </c>
      <c r="I404" s="127" t="s">
        <v>2753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1739</v>
      </c>
      <c r="AA404" s="79"/>
    </row>
    <row r="405" spans="1:27">
      <c r="A405" s="135" t="s">
        <v>4015</v>
      </c>
      <c r="B405" s="83" t="str">
        <f t="shared" si="96"/>
        <v>HOST_CHK_STS</v>
      </c>
      <c r="C405" s="87" t="s">
        <v>2101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854</v>
      </c>
      <c r="H405" s="127" t="s">
        <v>794</v>
      </c>
      <c r="I405" s="127" t="s">
        <v>853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1739</v>
      </c>
      <c r="AA405" s="79"/>
    </row>
    <row r="406" spans="1:27">
      <c r="A406" s="135" t="s">
        <v>4014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854</v>
      </c>
      <c r="H406" s="127" t="s">
        <v>1891</v>
      </c>
      <c r="I406" s="127" t="s">
        <v>728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1739</v>
      </c>
      <c r="AA406" s="79"/>
    </row>
    <row r="407" spans="1:27">
      <c r="A407" s="143" t="s">
        <v>4013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854</v>
      </c>
      <c r="H407" s="127" t="s">
        <v>2551</v>
      </c>
      <c r="I407" s="127" t="s">
        <v>2844</v>
      </c>
      <c r="J407" s="127" t="s">
        <v>1849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1739</v>
      </c>
      <c r="AA407" s="79"/>
    </row>
    <row r="408" spans="1:27">
      <c r="A408" s="145" t="s">
        <v>4012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4011</v>
      </c>
      <c r="H408" s="127" t="s">
        <v>348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1739</v>
      </c>
      <c r="AA408" s="79"/>
    </row>
    <row r="409" spans="1:27">
      <c r="A409" s="96" t="s">
        <v>4010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4009</v>
      </c>
      <c r="H409" s="127" t="s">
        <v>2228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1739</v>
      </c>
      <c r="AA409" s="79"/>
    </row>
    <row r="410" spans="1:27">
      <c r="A410" s="96" t="s">
        <v>4008</v>
      </c>
      <c r="B410" s="83" t="str">
        <f t="shared" si="96"/>
        <v>HONNIN_YOCHOKIN_UMU_FLG</v>
      </c>
      <c r="C410" s="87" t="s">
        <v>1728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875</v>
      </c>
      <c r="H410" s="127" t="s">
        <v>2254</v>
      </c>
      <c r="I410" s="127" t="s">
        <v>341</v>
      </c>
      <c r="J410" s="127" t="s">
        <v>465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1739</v>
      </c>
      <c r="AA410" s="79"/>
    </row>
    <row r="411" spans="1:27">
      <c r="A411" s="88" t="s">
        <v>4007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875</v>
      </c>
      <c r="H411" s="127" t="s">
        <v>2669</v>
      </c>
      <c r="I411" s="127" t="s">
        <v>1849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1739</v>
      </c>
      <c r="AA411" s="79"/>
    </row>
    <row r="412" spans="1:27">
      <c r="A412" s="137" t="s">
        <v>4006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4005</v>
      </c>
      <c r="H412" s="127" t="s">
        <v>728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1739</v>
      </c>
      <c r="AA412" s="79"/>
    </row>
    <row r="413" spans="1:27">
      <c r="A413" s="96" t="s">
        <v>4004</v>
      </c>
      <c r="B413" s="83" t="str">
        <f t="shared" si="96"/>
        <v>MEISAI_HOSEIZUMI_FLG</v>
      </c>
      <c r="C413" s="87" t="s">
        <v>1728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4003</v>
      </c>
      <c r="H413" s="127" t="s">
        <v>4002</v>
      </c>
      <c r="I413" s="127" t="s">
        <v>465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1739</v>
      </c>
      <c r="AA413" s="79"/>
    </row>
    <row r="414" spans="1:27">
      <c r="A414" s="96" t="s">
        <v>4001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4000</v>
      </c>
      <c r="H414" s="127" t="s">
        <v>725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1739</v>
      </c>
      <c r="AA414" s="79"/>
    </row>
    <row r="415" spans="1:27">
      <c r="A415" s="145" t="s">
        <v>3999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2274</v>
      </c>
      <c r="H415" s="127" t="s">
        <v>3523</v>
      </c>
      <c r="I415" s="127" t="s">
        <v>375</v>
      </c>
      <c r="J415" s="127" t="s">
        <v>183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1739</v>
      </c>
      <c r="AA415" s="79"/>
    </row>
    <row r="416" spans="1:27">
      <c r="A416" s="145" t="s">
        <v>3998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2274</v>
      </c>
      <c r="H416" s="127" t="s">
        <v>3521</v>
      </c>
      <c r="I416" s="127" t="s">
        <v>3520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1739</v>
      </c>
      <c r="AA416" s="79"/>
    </row>
    <row r="417" spans="1:27">
      <c r="A417" s="145" t="s">
        <v>3997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2274</v>
      </c>
      <c r="H417" s="127" t="s">
        <v>2578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1739</v>
      </c>
      <c r="AA417" s="79"/>
    </row>
    <row r="418" spans="1:27">
      <c r="A418" s="96" t="s">
        <v>3996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679</v>
      </c>
      <c r="H418" s="127" t="s">
        <v>656</v>
      </c>
      <c r="I418" s="127" t="s">
        <v>183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1739</v>
      </c>
      <c r="AA418" s="79"/>
    </row>
    <row r="419" spans="1:27">
      <c r="A419" s="145" t="s">
        <v>6468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299</v>
      </c>
      <c r="H419" s="127" t="s">
        <v>746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1739</v>
      </c>
      <c r="AA419" s="79"/>
    </row>
    <row r="420" spans="1:27">
      <c r="A420" s="96" t="s">
        <v>6473</v>
      </c>
      <c r="B420" s="83" t="str">
        <f t="shared" si="96"/>
        <v>LEAD_ID_TARGET_CUST_ID</v>
      </c>
      <c r="C420" s="87" t="s">
        <v>3995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299</v>
      </c>
      <c r="H420" s="127" t="s">
        <v>746</v>
      </c>
      <c r="I420" s="127" t="s">
        <v>3994</v>
      </c>
      <c r="J420" s="127" t="s">
        <v>3006</v>
      </c>
      <c r="K420" s="127" t="s">
        <v>746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1739</v>
      </c>
      <c r="AA420" s="79"/>
    </row>
    <row r="421" spans="1:27">
      <c r="A421" s="96" t="s">
        <v>6474</v>
      </c>
      <c r="B421" s="83" t="str">
        <f t="shared" si="96"/>
        <v>LEAD_ID_TARGET_CUST_ID_2</v>
      </c>
      <c r="C421" s="87" t="s">
        <v>3995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299</v>
      </c>
      <c r="H421" s="127" t="s">
        <v>746</v>
      </c>
      <c r="I421" s="127" t="s">
        <v>3994</v>
      </c>
      <c r="J421" s="127" t="s">
        <v>3006</v>
      </c>
      <c r="K421" s="127" t="s">
        <v>746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1739</v>
      </c>
      <c r="AA421" s="79"/>
    </row>
    <row r="422" spans="1:27">
      <c r="A422" s="96" t="s">
        <v>6475</v>
      </c>
      <c r="B422" s="83" t="str">
        <f t="shared" si="96"/>
        <v>LEAD_ID_TARGET_CUST_ID_3</v>
      </c>
      <c r="C422" s="87" t="s">
        <v>3995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299</v>
      </c>
      <c r="H422" s="127" t="s">
        <v>746</v>
      </c>
      <c r="I422" s="127" t="s">
        <v>3994</v>
      </c>
      <c r="J422" s="127" t="s">
        <v>3006</v>
      </c>
      <c r="K422" s="127" t="s">
        <v>746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1739</v>
      </c>
      <c r="AA422" s="79"/>
    </row>
    <row r="423" spans="1:27">
      <c r="A423" s="96" t="s">
        <v>6476</v>
      </c>
      <c r="B423" s="83" t="str">
        <f t="shared" si="96"/>
        <v>LEAD_ID_TARGET_CUST_ID_4</v>
      </c>
      <c r="C423" s="87" t="s">
        <v>3995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299</v>
      </c>
      <c r="H423" s="127" t="s">
        <v>746</v>
      </c>
      <c r="I423" s="127" t="s">
        <v>3994</v>
      </c>
      <c r="J423" s="127" t="s">
        <v>3006</v>
      </c>
      <c r="K423" s="127" t="s">
        <v>746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1739</v>
      </c>
      <c r="AA423" s="79"/>
    </row>
    <row r="424" spans="1:27">
      <c r="A424" s="165" t="s">
        <v>3993</v>
      </c>
      <c r="B424" s="83" t="str">
        <f t="shared" si="96"/>
        <v>LEAD_KB</v>
      </c>
      <c r="C424" s="87" t="s">
        <v>3993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299</v>
      </c>
      <c r="H424" s="127" t="s">
        <v>177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1487</v>
      </c>
      <c r="AA424" s="79"/>
    </row>
    <row r="425" spans="1:27">
      <c r="A425" s="96" t="s">
        <v>3992</v>
      </c>
      <c r="B425" s="83" t="str">
        <f t="shared" si="96"/>
        <v>LEAD_SHUTOKU_DATE</v>
      </c>
      <c r="C425" s="87" t="s">
        <v>1483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299</v>
      </c>
      <c r="H425" s="127" t="s">
        <v>3991</v>
      </c>
      <c r="I425" s="127" t="s">
        <v>3638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1739</v>
      </c>
      <c r="AA425" s="79"/>
    </row>
    <row r="426" spans="1:27">
      <c r="A426" s="145" t="s">
        <v>3990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299</v>
      </c>
      <c r="H426" s="127" t="s">
        <v>849</v>
      </c>
      <c r="I426" s="127" t="s">
        <v>298</v>
      </c>
      <c r="J426" s="127" t="s">
        <v>2669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1739</v>
      </c>
      <c r="AA426" s="79"/>
    </row>
    <row r="427" spans="1:27">
      <c r="A427" s="143" t="s">
        <v>3989</v>
      </c>
      <c r="B427" s="83" t="str">
        <f t="shared" si="96"/>
        <v>LEAD_KB_RNAME</v>
      </c>
      <c r="C427" s="87" t="s">
        <v>3140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299</v>
      </c>
      <c r="H427" s="127" t="s">
        <v>177</v>
      </c>
      <c r="I427" s="127" t="s">
        <v>1559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1487</v>
      </c>
      <c r="AA427" s="79"/>
    </row>
    <row r="428" spans="1:27">
      <c r="A428" s="165" t="s">
        <v>3988</v>
      </c>
      <c r="B428" s="83" t="str">
        <f t="shared" si="96"/>
        <v>LEAD_SHUTOKU_DATE</v>
      </c>
      <c r="C428" s="87" t="s">
        <v>1483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299</v>
      </c>
      <c r="H428" s="127" t="s">
        <v>2879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1739</v>
      </c>
      <c r="AA428" s="79"/>
    </row>
    <row r="429" spans="1:27">
      <c r="A429" s="96" t="s">
        <v>3987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3986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1739</v>
      </c>
      <c r="AA429" s="79"/>
    </row>
    <row r="430" spans="1:27">
      <c r="A430" s="96" t="s">
        <v>3985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3984</v>
      </c>
      <c r="H430" s="127" t="s">
        <v>764</v>
      </c>
      <c r="I430" s="127" t="s">
        <v>341</v>
      </c>
      <c r="J430" s="127" t="s">
        <v>177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182</v>
      </c>
      <c r="AA430" s="79"/>
    </row>
    <row r="431" spans="1:27">
      <c r="A431" s="137" t="s">
        <v>3983</v>
      </c>
      <c r="B431" s="83" t="str">
        <f t="shared" si="96"/>
        <v>RYO_RT_TYPE</v>
      </c>
      <c r="C431" s="87" t="s">
        <v>180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3980</v>
      </c>
      <c r="H431" s="127" t="s">
        <v>849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1739</v>
      </c>
      <c r="AA431" s="79"/>
    </row>
    <row r="432" spans="1:27">
      <c r="A432" s="144" t="s">
        <v>3982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3980</v>
      </c>
      <c r="H432" s="127" t="s">
        <v>764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182</v>
      </c>
      <c r="AA432" s="79"/>
    </row>
    <row r="433" spans="1:27">
      <c r="A433" s="96" t="s">
        <v>3981</v>
      </c>
      <c r="B433" s="83" t="str">
        <f t="shared" si="96"/>
        <v>RYO_RT_RIDER_CD</v>
      </c>
      <c r="C433" s="87" t="s">
        <v>180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3980</v>
      </c>
      <c r="H433" s="127" t="s">
        <v>764</v>
      </c>
      <c r="I433" s="127" t="s">
        <v>183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1739</v>
      </c>
      <c r="AA433" s="79"/>
    </row>
    <row r="434" spans="1:27">
      <c r="A434" s="96" t="s">
        <v>3979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3978</v>
      </c>
      <c r="H434" s="127" t="s">
        <v>764</v>
      </c>
      <c r="I434" s="127" t="s">
        <v>183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1739</v>
      </c>
      <c r="AA434" s="79"/>
    </row>
    <row r="435" spans="1:27">
      <c r="A435" s="96" t="s">
        <v>3977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2237</v>
      </c>
      <c r="H435" s="127" t="s">
        <v>656</v>
      </c>
      <c r="I435" s="127" t="s">
        <v>341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1739</v>
      </c>
      <c r="AA435" s="79"/>
    </row>
    <row r="436" spans="1:27">
      <c r="A436" s="96" t="s">
        <v>3976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2237</v>
      </c>
      <c r="H436" s="127" t="s">
        <v>444</v>
      </c>
      <c r="I436" s="127" t="s">
        <v>2480</v>
      </c>
      <c r="J436" s="127" t="s">
        <v>843</v>
      </c>
      <c r="K436" s="127" t="s">
        <v>341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1739</v>
      </c>
      <c r="AA436" s="79"/>
    </row>
    <row r="437" spans="1:27">
      <c r="A437" s="96" t="s">
        <v>3975</v>
      </c>
      <c r="B437" s="83" t="str">
        <f t="shared" si="96"/>
        <v>RYOKO_SHIKIN_KEISAN_FLG</v>
      </c>
      <c r="C437" s="87" t="s">
        <v>1728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2237</v>
      </c>
      <c r="H437" s="127" t="s">
        <v>444</v>
      </c>
      <c r="I437" s="127" t="s">
        <v>1292</v>
      </c>
      <c r="J437" s="127" t="s">
        <v>465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1739</v>
      </c>
      <c r="AA437" s="79"/>
    </row>
    <row r="438" spans="1:27">
      <c r="A438" s="96" t="s">
        <v>3974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2237</v>
      </c>
      <c r="H438" s="127" t="s">
        <v>3016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1739</v>
      </c>
      <c r="AA438" s="79"/>
    </row>
    <row r="439" spans="1:27">
      <c r="A439" s="96" t="s">
        <v>3973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3971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1739</v>
      </c>
      <c r="AA439" s="79"/>
    </row>
    <row r="440" spans="1:27">
      <c r="A440" s="96" t="s">
        <v>3972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3971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1739</v>
      </c>
      <c r="AA440" s="79"/>
    </row>
    <row r="441" spans="1:27">
      <c r="A441" s="135" t="s">
        <v>3970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3966</v>
      </c>
      <c r="H441" s="127" t="s">
        <v>2551</v>
      </c>
      <c r="I441" s="127" t="s">
        <v>3969</v>
      </c>
      <c r="J441" s="127" t="s">
        <v>1890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1739</v>
      </c>
      <c r="AA441" s="79"/>
    </row>
    <row r="442" spans="1:27">
      <c r="A442" s="143" t="s">
        <v>3968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3966</v>
      </c>
      <c r="H442" s="127" t="s">
        <v>2551</v>
      </c>
      <c r="I442" s="127" t="s">
        <v>2108</v>
      </c>
      <c r="J442" s="127" t="s">
        <v>1849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1739</v>
      </c>
      <c r="AA442" s="79"/>
    </row>
    <row r="443" spans="1:27">
      <c r="A443" s="96" t="s">
        <v>3967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3966</v>
      </c>
      <c r="H443" s="127" t="s">
        <v>2551</v>
      </c>
      <c r="I443" s="127" t="s">
        <v>2108</v>
      </c>
      <c r="J443" s="127" t="s">
        <v>1849</v>
      </c>
      <c r="K443" s="127" t="s">
        <v>3965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1739</v>
      </c>
      <c r="AA443" s="79"/>
    </row>
    <row r="444" spans="1:27">
      <c r="A444" s="96" t="s">
        <v>3964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2379</v>
      </c>
      <c r="H444" s="127" t="s">
        <v>2213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1739</v>
      </c>
      <c r="AA444" s="79"/>
    </row>
    <row r="445" spans="1:27">
      <c r="A445" s="96" t="s">
        <v>3963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2379</v>
      </c>
      <c r="H445" s="127" t="s">
        <v>864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1739</v>
      </c>
      <c r="AA445" s="79"/>
    </row>
    <row r="446" spans="1:27">
      <c r="A446" s="96" t="s">
        <v>3962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2379</v>
      </c>
      <c r="H446" s="127" t="s">
        <v>2967</v>
      </c>
      <c r="I446" s="127" t="s">
        <v>3078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1739</v>
      </c>
      <c r="AA446" s="79"/>
    </row>
    <row r="447" spans="1:27">
      <c r="A447" s="96" t="s">
        <v>3961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2379</v>
      </c>
      <c r="H447" s="127" t="s">
        <v>3408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1739</v>
      </c>
      <c r="AA447" s="79"/>
    </row>
    <row r="448" spans="1:27">
      <c r="A448" s="96" t="s">
        <v>3960</v>
      </c>
      <c r="B448" s="83" t="str">
        <f t="shared" si="96"/>
        <v>LOGIN_ALLOW_FLG</v>
      </c>
      <c r="C448" s="87" t="s">
        <v>1728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3639</v>
      </c>
      <c r="H448" s="127" t="s">
        <v>3959</v>
      </c>
      <c r="I448" s="127" t="s">
        <v>465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1487</v>
      </c>
      <c r="AA448" s="79"/>
    </row>
    <row r="449" spans="1:27">
      <c r="A449" s="165" t="s">
        <v>3958</v>
      </c>
      <c r="B449" s="83" t="str">
        <f t="shared" si="96"/>
        <v>WARIATE_DATE</v>
      </c>
      <c r="C449" s="87" t="s">
        <v>1483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3957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1739</v>
      </c>
      <c r="AA449" s="79"/>
    </row>
    <row r="450" spans="1:27">
      <c r="A450" s="135" t="s">
        <v>3956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1728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3955</v>
      </c>
      <c r="H450" s="127" t="s">
        <v>175</v>
      </c>
      <c r="I450" s="127" t="s">
        <v>3954</v>
      </c>
      <c r="J450" s="127" t="s">
        <v>465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1739</v>
      </c>
      <c r="AA450" s="79"/>
    </row>
    <row r="451" spans="1:27">
      <c r="A451" s="142" t="s">
        <v>3953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3952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1739</v>
      </c>
      <c r="AA451" s="79"/>
    </row>
    <row r="452" spans="1:27">
      <c r="A452" s="96" t="s">
        <v>3951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3541</v>
      </c>
      <c r="H452" s="127" t="s">
        <v>1914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1739</v>
      </c>
      <c r="AA452" s="79"/>
    </row>
    <row r="453" spans="1:27">
      <c r="A453" s="96" t="s">
        <v>3950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3541</v>
      </c>
      <c r="H453" s="127" t="s">
        <v>2628</v>
      </c>
      <c r="I453" s="127" t="s">
        <v>177</v>
      </c>
      <c r="J453" s="127" t="s">
        <v>183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1739</v>
      </c>
      <c r="AA453" s="79"/>
    </row>
    <row r="454" spans="1:27">
      <c r="A454" s="135" t="s">
        <v>3949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3937</v>
      </c>
      <c r="H454" s="127" t="s">
        <v>1314</v>
      </c>
      <c r="I454" s="127" t="s">
        <v>190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1739</v>
      </c>
      <c r="AA454" s="79"/>
    </row>
    <row r="455" spans="1:27">
      <c r="A455" s="135" t="s">
        <v>3948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3939</v>
      </c>
      <c r="H455" s="127" t="s">
        <v>1314</v>
      </c>
      <c r="I455" s="127" t="s">
        <v>190</v>
      </c>
      <c r="J455" s="127" t="s">
        <v>764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1739</v>
      </c>
      <c r="AA455" s="79"/>
    </row>
    <row r="456" spans="1:27">
      <c r="A456" s="135" t="s">
        <v>3947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3939</v>
      </c>
      <c r="H456" s="127" t="s">
        <v>1314</v>
      </c>
      <c r="I456" s="127" t="s">
        <v>190</v>
      </c>
      <c r="J456" s="127" t="s">
        <v>764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1739</v>
      </c>
      <c r="AA456" s="79"/>
    </row>
    <row r="457" spans="1:27">
      <c r="A457" s="135" t="s">
        <v>3946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3939</v>
      </c>
      <c r="H457" s="127" t="s">
        <v>1314</v>
      </c>
      <c r="I457" s="127" t="s">
        <v>190</v>
      </c>
      <c r="J457" s="127" t="s">
        <v>764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1739</v>
      </c>
      <c r="AA457" s="79"/>
    </row>
    <row r="458" spans="1:27">
      <c r="A458" s="135" t="s">
        <v>3945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3939</v>
      </c>
      <c r="H458" s="127" t="s">
        <v>1314</v>
      </c>
      <c r="I458" s="127" t="s">
        <v>2335</v>
      </c>
      <c r="J458" s="127" t="s">
        <v>764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1739</v>
      </c>
      <c r="AA458" s="79"/>
    </row>
    <row r="459" spans="1:27">
      <c r="A459" s="135" t="s">
        <v>3944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3939</v>
      </c>
      <c r="H459" s="127" t="s">
        <v>1314</v>
      </c>
      <c r="I459" s="127" t="s">
        <v>391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1739</v>
      </c>
      <c r="AA459" s="79"/>
    </row>
    <row r="460" spans="1:27">
      <c r="A460" s="135" t="s">
        <v>3943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3939</v>
      </c>
      <c r="H460" s="127" t="s">
        <v>1314</v>
      </c>
      <c r="I460" s="127" t="s">
        <v>391</v>
      </c>
      <c r="J460" s="127" t="s">
        <v>764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1739</v>
      </c>
      <c r="AA460" s="79"/>
    </row>
    <row r="461" spans="1:27">
      <c r="A461" s="135" t="s">
        <v>3942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3937</v>
      </c>
      <c r="H461" s="127" t="s">
        <v>1314</v>
      </c>
      <c r="I461" s="127" t="s">
        <v>391</v>
      </c>
      <c r="J461" s="127" t="s">
        <v>764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1739</v>
      </c>
      <c r="AA461" s="79"/>
    </row>
    <row r="462" spans="1:27">
      <c r="A462" s="135" t="s">
        <v>3941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3939</v>
      </c>
      <c r="H462" s="127" t="s">
        <v>1314</v>
      </c>
      <c r="I462" s="127" t="s">
        <v>391</v>
      </c>
      <c r="J462" s="127" t="s">
        <v>764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1739</v>
      </c>
      <c r="AA462" s="79"/>
    </row>
    <row r="463" spans="1:27">
      <c r="A463" s="135" t="s">
        <v>3940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3939</v>
      </c>
      <c r="H463" s="127" t="s">
        <v>1314</v>
      </c>
      <c r="I463" s="127" t="s">
        <v>391</v>
      </c>
      <c r="J463" s="127" t="s">
        <v>764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1739</v>
      </c>
      <c r="AA463" s="79"/>
    </row>
    <row r="464" spans="1:27">
      <c r="A464" s="135" t="s">
        <v>3938</v>
      </c>
      <c r="B464" s="83" t="str">
        <f t="shared" si="115"/>
        <v>IKKATSU_OFFER_SELECT_FLG</v>
      </c>
      <c r="C464" s="87" t="s">
        <v>1728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3937</v>
      </c>
      <c r="H464" s="127" t="s">
        <v>857</v>
      </c>
      <c r="I464" s="127" t="s">
        <v>465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1739</v>
      </c>
      <c r="AA464" s="79"/>
    </row>
    <row r="465" spans="1:27">
      <c r="A465" s="96" t="s">
        <v>2493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2493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1739</v>
      </c>
      <c r="AA465" s="79"/>
    </row>
    <row r="466" spans="1:27">
      <c r="A466" s="96" t="s">
        <v>3936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351</v>
      </c>
      <c r="H466" s="127" t="s">
        <v>2618</v>
      </c>
      <c r="I466" s="127" t="s">
        <v>2617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1739</v>
      </c>
      <c r="AA466" s="79"/>
    </row>
    <row r="467" spans="1:27">
      <c r="A467" s="96" t="s">
        <v>3935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351</v>
      </c>
      <c r="H467" s="127" t="s">
        <v>2618</v>
      </c>
      <c r="I467" s="127" t="s">
        <v>2620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1739</v>
      </c>
      <c r="AA467" s="79"/>
    </row>
    <row r="468" spans="1:27">
      <c r="A468" s="96" t="s">
        <v>3934</v>
      </c>
      <c r="B468" s="83" t="str">
        <f t="shared" si="115"/>
        <v>ICHIJIBARAI_FLG</v>
      </c>
      <c r="C468" s="87" t="s">
        <v>1728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351</v>
      </c>
      <c r="H468" s="127" t="s">
        <v>465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1739</v>
      </c>
      <c r="AA468" s="79"/>
    </row>
    <row r="469" spans="1:27">
      <c r="A469" s="161" t="s">
        <v>3933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351</v>
      </c>
      <c r="H469" s="127" t="s">
        <v>391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182</v>
      </c>
      <c r="AA469" s="79"/>
    </row>
    <row r="470" spans="1:27">
      <c r="A470" s="135" t="s">
        <v>3932</v>
      </c>
      <c r="B470" s="83" t="str">
        <f t="shared" si="115"/>
        <v>HIKIUKE_HOKEN_COMPANY_KB</v>
      </c>
      <c r="C470" s="87" t="s">
        <v>180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3931</v>
      </c>
      <c r="H470" s="127" t="s">
        <v>2497</v>
      </c>
      <c r="I470" s="127" t="s">
        <v>3930</v>
      </c>
      <c r="J470" s="127" t="s">
        <v>1733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1739</v>
      </c>
      <c r="AA470" s="79"/>
    </row>
    <row r="471" spans="1:27">
      <c r="A471" s="136" t="s">
        <v>2266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2266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1739</v>
      </c>
      <c r="AA471" s="79"/>
    </row>
    <row r="472" spans="1:27">
      <c r="A472" s="96" t="s">
        <v>3929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202</v>
      </c>
      <c r="H472" s="127" t="s">
        <v>1824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1739</v>
      </c>
      <c r="AA472" s="79"/>
    </row>
    <row r="473" spans="1:27">
      <c r="A473" s="155" t="s">
        <v>3928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202</v>
      </c>
      <c r="H473" s="127" t="s">
        <v>864</v>
      </c>
      <c r="I473" s="127" t="s">
        <v>1285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1739</v>
      </c>
      <c r="AA473" s="79"/>
    </row>
    <row r="474" spans="1:27">
      <c r="A474" s="155" t="s">
        <v>3927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202</v>
      </c>
      <c r="H474" s="127" t="s">
        <v>864</v>
      </c>
      <c r="I474" s="127" t="s">
        <v>1282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1739</v>
      </c>
      <c r="AA474" s="79"/>
    </row>
    <row r="475" spans="1:27">
      <c r="A475" s="155" t="s">
        <v>2419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202</v>
      </c>
      <c r="H475" s="127" t="s">
        <v>2570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1788</v>
      </c>
      <c r="AA475" s="79"/>
    </row>
    <row r="476" spans="1:27">
      <c r="A476" s="141" t="s">
        <v>3926</v>
      </c>
      <c r="B476" s="83" t="str">
        <f t="shared" si="115"/>
        <v>KANYU_NENGETSU_MONTH</v>
      </c>
      <c r="C476" s="87" t="s">
        <v>3925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202</v>
      </c>
      <c r="H476" s="127" t="s">
        <v>3642</v>
      </c>
      <c r="I476" s="127" t="s">
        <v>3924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1739</v>
      </c>
      <c r="AA476" s="79"/>
    </row>
    <row r="477" spans="1:27">
      <c r="A477" s="141" t="s">
        <v>3923</v>
      </c>
      <c r="B477" s="83" t="str">
        <f t="shared" si="115"/>
        <v>KANYU_NENGETSU_YEAR</v>
      </c>
      <c r="C477" s="87" t="s">
        <v>3922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202</v>
      </c>
      <c r="H477" s="127" t="s">
        <v>3642</v>
      </c>
      <c r="I477" s="127" t="s">
        <v>3921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182</v>
      </c>
      <c r="AA477" s="79"/>
    </row>
    <row r="478" spans="1:27">
      <c r="A478" s="141" t="s">
        <v>3920</v>
      </c>
      <c r="B478" s="83" t="str">
        <f t="shared" si="115"/>
        <v>KANYU_NENGETSU_NENGO_KB</v>
      </c>
      <c r="C478" s="87" t="s">
        <v>180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202</v>
      </c>
      <c r="H478" s="127" t="s">
        <v>3642</v>
      </c>
      <c r="I478" s="127" t="s">
        <v>3919</v>
      </c>
      <c r="J478" s="127" t="s">
        <v>180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1739</v>
      </c>
      <c r="AA478" s="79"/>
    </row>
    <row r="479" spans="1:27">
      <c r="A479" s="141" t="s">
        <v>3918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202</v>
      </c>
      <c r="H479" s="127" t="s">
        <v>3642</v>
      </c>
      <c r="I479" s="127">
        <v>2</v>
      </c>
      <c r="J479" s="127" t="s">
        <v>959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1739</v>
      </c>
      <c r="AA479" s="79"/>
    </row>
    <row r="480" spans="1:27">
      <c r="A480" s="141" t="s">
        <v>3917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202</v>
      </c>
      <c r="H480" s="127" t="s">
        <v>3642</v>
      </c>
      <c r="I480" s="127">
        <v>3</v>
      </c>
      <c r="J480" s="127" t="s">
        <v>2261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1739</v>
      </c>
      <c r="AA480" s="79"/>
    </row>
    <row r="481" spans="1:27">
      <c r="A481" s="141" t="s">
        <v>3916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202</v>
      </c>
      <c r="H481" s="127" t="s">
        <v>3642</v>
      </c>
      <c r="I481" s="127">
        <v>3</v>
      </c>
      <c r="J481" s="127" t="s">
        <v>959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1739</v>
      </c>
      <c r="AA481" s="79"/>
    </row>
    <row r="482" spans="1:27">
      <c r="A482" s="96" t="s">
        <v>3915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202</v>
      </c>
      <c r="H482" s="127" t="s">
        <v>428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1739</v>
      </c>
      <c r="AA482" s="79"/>
    </row>
    <row r="483" spans="1:27">
      <c r="A483" s="141" t="s">
        <v>3914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202</v>
      </c>
      <c r="H483" s="127" t="s">
        <v>959</v>
      </c>
      <c r="I483" s="127" t="s">
        <v>880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1739</v>
      </c>
      <c r="AA483" s="79"/>
    </row>
    <row r="484" spans="1:27">
      <c r="A484" s="141" t="s">
        <v>3913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202</v>
      </c>
      <c r="H484" s="127" t="s">
        <v>959</v>
      </c>
      <c r="I484" s="127" t="s">
        <v>880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1739</v>
      </c>
      <c r="AA484" s="79"/>
    </row>
    <row r="485" spans="1:27">
      <c r="A485" s="141" t="s">
        <v>3912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202</v>
      </c>
      <c r="H485" s="127" t="s">
        <v>959</v>
      </c>
      <c r="I485" s="127" t="s">
        <v>880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1739</v>
      </c>
      <c r="AA485" s="79"/>
    </row>
    <row r="486" spans="1:27">
      <c r="A486" s="141" t="s">
        <v>3911</v>
      </c>
      <c r="B486" s="83" t="str">
        <f t="shared" si="115"/>
        <v>KANYU_MOKUTEKI</v>
      </c>
      <c r="C486" s="87" t="s">
        <v>3910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202</v>
      </c>
      <c r="H486" s="127" t="s">
        <v>236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1739</v>
      </c>
      <c r="AA486" s="79"/>
    </row>
    <row r="487" spans="1:27">
      <c r="A487" s="96" t="s">
        <v>3909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3908</v>
      </c>
      <c r="H487" s="127" t="s">
        <v>2287</v>
      </c>
      <c r="I487" s="127" t="s">
        <v>2286</v>
      </c>
      <c r="J487" s="127" t="s">
        <v>183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1739</v>
      </c>
      <c r="AA487" s="79"/>
    </row>
    <row r="488" spans="1:27">
      <c r="A488" s="141" t="s">
        <v>3907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3905</v>
      </c>
      <c r="H488" s="127" t="s">
        <v>3904</v>
      </c>
      <c r="I488" s="127" t="s">
        <v>728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1739</v>
      </c>
      <c r="AA488" s="79"/>
    </row>
    <row r="489" spans="1:27">
      <c r="A489" s="141" t="s">
        <v>3906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3905</v>
      </c>
      <c r="H489" s="127" t="s">
        <v>3904</v>
      </c>
      <c r="I489" s="127" t="s">
        <v>728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1739</v>
      </c>
      <c r="AA489" s="79"/>
    </row>
    <row r="490" spans="1:27">
      <c r="A490" s="96" t="s">
        <v>3903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2546</v>
      </c>
      <c r="H490" s="127" t="s">
        <v>849</v>
      </c>
      <c r="I490" s="127" t="s">
        <v>183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1739</v>
      </c>
      <c r="AA490" s="79"/>
    </row>
    <row r="491" spans="1:27">
      <c r="A491" s="135" t="s">
        <v>3902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3898</v>
      </c>
      <c r="H491" s="127" t="s">
        <v>190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1739</v>
      </c>
      <c r="AA491" s="79"/>
    </row>
    <row r="492" spans="1:27">
      <c r="A492" s="135" t="s">
        <v>3901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3898</v>
      </c>
      <c r="H492" s="127" t="s">
        <v>190</v>
      </c>
      <c r="I492" s="127" t="s">
        <v>3465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1549</v>
      </c>
      <c r="AA492" s="79"/>
    </row>
    <row r="493" spans="1:27">
      <c r="A493" s="135" t="s">
        <v>3900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3898</v>
      </c>
      <c r="H493" s="127" t="s">
        <v>190</v>
      </c>
      <c r="I493" s="127" t="s">
        <v>3463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1549</v>
      </c>
      <c r="AA493" s="79"/>
    </row>
    <row r="494" spans="1:27">
      <c r="A494" s="135" t="s">
        <v>3899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3898</v>
      </c>
      <c r="H494" s="127" t="s">
        <v>190</v>
      </c>
      <c r="I494" s="127" t="s">
        <v>3461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1101</v>
      </c>
      <c r="AA494" s="79"/>
    </row>
    <row r="495" spans="1:27">
      <c r="A495" s="174" t="s">
        <v>3897</v>
      </c>
      <c r="B495" s="83" t="str">
        <f t="shared" si="115"/>
        <v>COMPANY_NAME_KANA</v>
      </c>
      <c r="C495" s="87" t="s">
        <v>3896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3892</v>
      </c>
      <c r="H495" s="127" t="s">
        <v>1403</v>
      </c>
      <c r="I495" s="127" t="s">
        <v>3895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1101</v>
      </c>
      <c r="AA495" s="79"/>
    </row>
    <row r="496" spans="1:27">
      <c r="A496" s="138" t="s">
        <v>3894</v>
      </c>
      <c r="B496" s="83" t="str">
        <f t="shared" si="115"/>
        <v>COMPANY_NAME</v>
      </c>
      <c r="C496" s="87" t="s">
        <v>3893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3892</v>
      </c>
      <c r="H496" s="127" t="s">
        <v>1403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1739</v>
      </c>
      <c r="AA496" s="79"/>
    </row>
    <row r="497" spans="1:27">
      <c r="A497" s="135" t="s">
        <v>3891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3890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1739</v>
      </c>
      <c r="AA497" s="79"/>
    </row>
    <row r="498" spans="1:27">
      <c r="A498" s="135" t="s">
        <v>3889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3880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1739</v>
      </c>
      <c r="AA498" s="79"/>
    </row>
    <row r="499" spans="1:27">
      <c r="A499" s="135" t="s">
        <v>3888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3880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1739</v>
      </c>
      <c r="AA499" s="79"/>
    </row>
    <row r="500" spans="1:27">
      <c r="A500" s="135" t="s">
        <v>3887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3880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1739</v>
      </c>
      <c r="AA500" s="79"/>
    </row>
    <row r="501" spans="1:27">
      <c r="A501" s="135" t="s">
        <v>3886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3880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1739</v>
      </c>
      <c r="AA501" s="79"/>
    </row>
    <row r="502" spans="1:27">
      <c r="A502" s="135" t="s">
        <v>3885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3880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1739</v>
      </c>
      <c r="AA502" s="79"/>
    </row>
    <row r="503" spans="1:27">
      <c r="A503" s="135" t="s">
        <v>3884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3880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1739</v>
      </c>
      <c r="AA503" s="79"/>
    </row>
    <row r="504" spans="1:27">
      <c r="A504" s="135" t="s">
        <v>3883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3880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1739</v>
      </c>
      <c r="AA504" s="79"/>
    </row>
    <row r="505" spans="1:27">
      <c r="A505" s="135" t="s">
        <v>3882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3880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1739</v>
      </c>
      <c r="AA505" s="79"/>
    </row>
    <row r="506" spans="1:27">
      <c r="A506" s="135" t="s">
        <v>3881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3880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1739</v>
      </c>
      <c r="AA506" s="79"/>
    </row>
    <row r="507" spans="1:27">
      <c r="A507" s="142" t="s">
        <v>3879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3106</v>
      </c>
      <c r="H507" s="127" t="s">
        <v>3092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1739</v>
      </c>
      <c r="AA507" s="79"/>
    </row>
    <row r="508" spans="1:27">
      <c r="A508" s="149" t="s">
        <v>3878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3871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1739</v>
      </c>
      <c r="AA508" s="79"/>
    </row>
    <row r="509" spans="1:27">
      <c r="A509" s="142" t="s">
        <v>3877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3871</v>
      </c>
      <c r="H509" s="127" t="s">
        <v>3876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1739</v>
      </c>
      <c r="AA509" s="79"/>
    </row>
    <row r="510" spans="1:27">
      <c r="A510" s="149" t="s">
        <v>3875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3871</v>
      </c>
      <c r="H510" s="127" t="s">
        <v>3874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1739</v>
      </c>
      <c r="AA510" s="79"/>
    </row>
    <row r="511" spans="1:27">
      <c r="A511" s="142" t="s">
        <v>3873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3871</v>
      </c>
      <c r="H511" s="127" t="s">
        <v>765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1739</v>
      </c>
      <c r="AA511" s="79"/>
    </row>
    <row r="512" spans="1:27">
      <c r="A512" s="149" t="s">
        <v>3872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3871</v>
      </c>
      <c r="H512" s="127" t="s">
        <v>3870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1739</v>
      </c>
      <c r="AA512" s="79"/>
    </row>
    <row r="513" spans="1:27">
      <c r="A513" s="135" t="s">
        <v>3869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3866</v>
      </c>
      <c r="H513" s="127">
        <v>1</v>
      </c>
      <c r="I513" s="127" t="s">
        <v>1314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1739</v>
      </c>
      <c r="AA513" s="79"/>
    </row>
    <row r="514" spans="1:27">
      <c r="A514" s="135" t="s">
        <v>3868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3866</v>
      </c>
      <c r="H514" s="127">
        <v>2</v>
      </c>
      <c r="I514" s="127" t="s">
        <v>1314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1739</v>
      </c>
      <c r="AA514" s="79"/>
    </row>
    <row r="515" spans="1:27">
      <c r="A515" s="172" t="s">
        <v>3867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3866</v>
      </c>
      <c r="H515" s="127" t="s">
        <v>3865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1487</v>
      </c>
      <c r="AA515" s="79"/>
    </row>
    <row r="516" spans="1:27">
      <c r="A516" s="135" t="s">
        <v>3864</v>
      </c>
      <c r="B516" s="83" t="str">
        <f t="shared" si="131"/>
        <v>KAIYAKU_PLAN_DATE</v>
      </c>
      <c r="C516" s="87" t="s">
        <v>1483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3863</v>
      </c>
      <c r="H516" s="127" t="s">
        <v>2271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1739</v>
      </c>
      <c r="AA516" s="79"/>
    </row>
    <row r="517" spans="1:27">
      <c r="A517" s="96" t="s">
        <v>3862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1824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1739</v>
      </c>
      <c r="AA517" s="79"/>
    </row>
    <row r="518" spans="1:27">
      <c r="A518" s="96" t="s">
        <v>3861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1824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1739</v>
      </c>
      <c r="AA518" s="79"/>
    </row>
    <row r="519" spans="1:27">
      <c r="A519" s="96" t="s">
        <v>3860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1824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1739</v>
      </c>
      <c r="AA519" s="79"/>
    </row>
    <row r="520" spans="1:27">
      <c r="A520" s="96" t="s">
        <v>3859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1824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1739</v>
      </c>
      <c r="AA520" s="79"/>
    </row>
    <row r="521" spans="1:27">
      <c r="A521" s="96" t="s">
        <v>3858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1824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1739</v>
      </c>
      <c r="AA521" s="79"/>
    </row>
    <row r="522" spans="1:27">
      <c r="A522" s="96" t="s">
        <v>3857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1824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1739</v>
      </c>
      <c r="AA522" s="79"/>
    </row>
    <row r="523" spans="1:27">
      <c r="A523" s="145" t="s">
        <v>3856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3855</v>
      </c>
      <c r="H523" s="127" t="s">
        <v>183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1487</v>
      </c>
      <c r="AA523" s="79"/>
    </row>
    <row r="524" spans="1:27">
      <c r="A524" s="145" t="s">
        <v>3854</v>
      </c>
      <c r="B524" s="83" t="str">
        <f t="shared" si="131"/>
        <v>KATSUDO_DATE</v>
      </c>
      <c r="C524" s="87" t="s">
        <v>1483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3853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1739</v>
      </c>
      <c r="AA524" s="79"/>
    </row>
    <row r="525" spans="1:27">
      <c r="A525" s="96" t="s">
        <v>3852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3849</v>
      </c>
      <c r="H525" s="127" t="s">
        <v>3851</v>
      </c>
      <c r="I525" s="127" t="s">
        <v>183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1739</v>
      </c>
      <c r="AA525" s="79"/>
    </row>
    <row r="526" spans="1:27">
      <c r="A526" s="96" t="s">
        <v>3850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3849</v>
      </c>
      <c r="H526" s="127" t="s">
        <v>444</v>
      </c>
      <c r="I526" s="127" t="s">
        <v>183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1739</v>
      </c>
      <c r="AA526" s="79"/>
    </row>
    <row r="527" spans="1:27">
      <c r="A527" s="96" t="s">
        <v>3848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3846</v>
      </c>
      <c r="H527" s="127" t="s">
        <v>2213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1739</v>
      </c>
      <c r="AA527" s="79"/>
    </row>
    <row r="528" spans="1:27">
      <c r="A528" s="96" t="s">
        <v>3847</v>
      </c>
      <c r="B528" s="83" t="str">
        <f t="shared" si="131"/>
        <v>KABUSHIKI_BAIKYAKU_UMU_FLG</v>
      </c>
      <c r="C528" s="87" t="s">
        <v>1728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3846</v>
      </c>
      <c r="H528" s="127" t="s">
        <v>2565</v>
      </c>
      <c r="I528" s="127" t="s">
        <v>341</v>
      </c>
      <c r="J528" s="127" t="s">
        <v>465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1739</v>
      </c>
      <c r="AA528" s="79"/>
    </row>
    <row r="529" spans="1:27">
      <c r="A529" s="147" t="s">
        <v>3841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3841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1739</v>
      </c>
      <c r="AA529" s="79"/>
    </row>
    <row r="530" spans="1:27">
      <c r="A530" s="135" t="s">
        <v>3845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3841</v>
      </c>
      <c r="H530" s="127" t="s">
        <v>1728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1739</v>
      </c>
      <c r="AA530" s="79"/>
    </row>
    <row r="531" spans="1:27">
      <c r="A531" s="135" t="s">
        <v>3844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3841</v>
      </c>
      <c r="H531" s="127" t="s">
        <v>3843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1739</v>
      </c>
      <c r="AA531" s="79"/>
    </row>
    <row r="532" spans="1:27">
      <c r="A532" s="135" t="s">
        <v>3842</v>
      </c>
      <c r="B532" s="83" t="str">
        <f t="shared" si="131"/>
        <v>KIKAKU_SHO_STS</v>
      </c>
      <c r="C532" s="87" t="s">
        <v>2101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3841</v>
      </c>
      <c r="H532" s="127" t="s">
        <v>853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1739</v>
      </c>
      <c r="AA532" s="79"/>
    </row>
    <row r="533" spans="1:27">
      <c r="A533" s="96" t="s">
        <v>3840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216</v>
      </c>
      <c r="H533" s="127" t="s">
        <v>3486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1739</v>
      </c>
      <c r="AA533" s="79"/>
    </row>
    <row r="534" spans="1:27">
      <c r="A534" s="96" t="s">
        <v>3839</v>
      </c>
      <c r="B534" s="83" t="str">
        <f t="shared" si="131"/>
        <v>KIGYO_NENKIN_UMU_FLG</v>
      </c>
      <c r="C534" s="87" t="s">
        <v>1728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216</v>
      </c>
      <c r="H534" s="127" t="s">
        <v>1914</v>
      </c>
      <c r="I534" s="127" t="s">
        <v>341</v>
      </c>
      <c r="J534" s="127" t="s">
        <v>465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1739</v>
      </c>
      <c r="AA534" s="79"/>
    </row>
    <row r="535" spans="1:27">
      <c r="A535" s="96" t="s">
        <v>3838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216</v>
      </c>
      <c r="H535" s="127" t="s">
        <v>728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1739</v>
      </c>
      <c r="AA535" s="79"/>
    </row>
    <row r="536" spans="1:27">
      <c r="A536" s="141" t="s">
        <v>3837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3837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1739</v>
      </c>
      <c r="AA536" s="79"/>
    </row>
    <row r="537" spans="1:27">
      <c r="A537" s="133" t="s">
        <v>3836</v>
      </c>
      <c r="B537" s="83" t="str">
        <f t="shared" si="131"/>
        <v>KIJUN_S</v>
      </c>
      <c r="C537" s="87" t="s">
        <v>753</v>
      </c>
      <c r="D537" s="82" t="str">
        <f t="shared" si="128"/>
        <v>Number</v>
      </c>
      <c r="E537" s="82">
        <f t="shared" si="129"/>
        <v>11</v>
      </c>
      <c r="F537" s="82" t="str">
        <f t="shared" si="130"/>
        <v/>
      </c>
      <c r="G537" s="128" t="s">
        <v>188</v>
      </c>
      <c r="H537" s="127" t="s">
        <v>190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1739</v>
      </c>
      <c r="AA537" s="79"/>
    </row>
    <row r="538" spans="1:27">
      <c r="A538" s="96" t="s">
        <v>3835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188</v>
      </c>
      <c r="H538" s="127" t="s">
        <v>190</v>
      </c>
      <c r="I538" s="127" t="s">
        <v>1285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1739</v>
      </c>
      <c r="AA538" s="79"/>
    </row>
    <row r="539" spans="1:27">
      <c r="A539" s="96" t="s">
        <v>3834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188</v>
      </c>
      <c r="H539" s="127" t="s">
        <v>190</v>
      </c>
      <c r="I539" s="127" t="s">
        <v>1282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1739</v>
      </c>
      <c r="AA539" s="79"/>
    </row>
    <row r="540" spans="1:27">
      <c r="A540" s="96" t="s">
        <v>3833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3832</v>
      </c>
      <c r="H540" s="127" t="s">
        <v>3052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1739</v>
      </c>
      <c r="AA540" s="79"/>
    </row>
    <row r="541" spans="1:27">
      <c r="A541" s="96" t="s">
        <v>3831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3232</v>
      </c>
      <c r="H541" s="127" t="s">
        <v>349</v>
      </c>
      <c r="I541" s="127" t="s">
        <v>198</v>
      </c>
      <c r="J541" s="127" t="s">
        <v>1737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1739</v>
      </c>
      <c r="AA541" s="79"/>
    </row>
    <row r="542" spans="1:27">
      <c r="A542" s="96" t="s">
        <v>3830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3828</v>
      </c>
      <c r="H542" s="127" t="s">
        <v>1850</v>
      </c>
      <c r="I542" s="127" t="s">
        <v>3827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1739</v>
      </c>
      <c r="AA542" s="79"/>
    </row>
    <row r="543" spans="1:27">
      <c r="A543" s="96" t="s">
        <v>3829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3828</v>
      </c>
      <c r="H543" s="127" t="s">
        <v>764</v>
      </c>
      <c r="I543" s="127" t="s">
        <v>3827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1739</v>
      </c>
      <c r="AA543" s="79"/>
    </row>
    <row r="544" spans="1:27">
      <c r="A544" s="96" t="s">
        <v>3826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3825</v>
      </c>
      <c r="H544" s="127" t="s">
        <v>3171</v>
      </c>
      <c r="I544" s="127" t="s">
        <v>391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1739</v>
      </c>
      <c r="AA544" s="79"/>
    </row>
    <row r="545" spans="1:27">
      <c r="A545" s="96" t="s">
        <v>3824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3823</v>
      </c>
      <c r="H545" s="127" t="s">
        <v>183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1487</v>
      </c>
      <c r="AA545" s="79"/>
    </row>
    <row r="546" spans="1:27">
      <c r="A546" s="96" t="s">
        <v>3822</v>
      </c>
      <c r="B546" s="83" t="str">
        <f t="shared" si="131"/>
        <v>KINEN_DATE</v>
      </c>
      <c r="C546" s="87" t="s">
        <v>1483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3820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1739</v>
      </c>
      <c r="AA546" s="79"/>
    </row>
    <row r="547" spans="1:27">
      <c r="A547" s="96" t="s">
        <v>3821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3820</v>
      </c>
      <c r="H547" s="127" t="s">
        <v>842</v>
      </c>
      <c r="I547" s="127" t="s">
        <v>183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1739</v>
      </c>
      <c r="AA547" s="79"/>
    </row>
    <row r="548" spans="1:27">
      <c r="A548" s="96" t="s">
        <v>3819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850</v>
      </c>
      <c r="H548" s="127" t="s">
        <v>392</v>
      </c>
      <c r="I548" s="127" t="s">
        <v>283</v>
      </c>
      <c r="J548" s="127" t="s">
        <v>864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1739</v>
      </c>
      <c r="AA548" s="79"/>
    </row>
    <row r="549" spans="1:27">
      <c r="A549" s="135" t="s">
        <v>3818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850</v>
      </c>
      <c r="H549" s="127" t="s">
        <v>2329</v>
      </c>
      <c r="I549" s="127" t="s">
        <v>1123</v>
      </c>
      <c r="J549" s="127" t="s">
        <v>2341</v>
      </c>
      <c r="K549" s="127" t="s">
        <v>1733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1739</v>
      </c>
      <c r="AA549" s="79"/>
    </row>
    <row r="550" spans="1:27">
      <c r="A550" s="135" t="s">
        <v>3817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850</v>
      </c>
      <c r="H550" s="127" t="s">
        <v>2329</v>
      </c>
      <c r="I550" s="127" t="s">
        <v>2106</v>
      </c>
      <c r="J550" s="127" t="s">
        <v>1733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1739</v>
      </c>
      <c r="AA550" s="79"/>
    </row>
    <row r="551" spans="1:27">
      <c r="A551" s="135" t="s">
        <v>3816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850</v>
      </c>
      <c r="H551" s="127" t="s">
        <v>2329</v>
      </c>
      <c r="I551" s="127" t="s">
        <v>2334</v>
      </c>
      <c r="J551" s="127" t="s">
        <v>2303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1739</v>
      </c>
      <c r="AA551" s="79"/>
    </row>
    <row r="552" spans="1:27">
      <c r="A552" s="135" t="s">
        <v>3815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850</v>
      </c>
      <c r="H552" s="127" t="s">
        <v>2329</v>
      </c>
      <c r="I552" s="127" t="s">
        <v>2334</v>
      </c>
      <c r="J552" s="127" t="s">
        <v>3300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1739</v>
      </c>
      <c r="AA552" s="79"/>
    </row>
    <row r="553" spans="1:27">
      <c r="A553" s="135" t="s">
        <v>3814</v>
      </c>
      <c r="B553" s="83" t="str">
        <f t="shared" si="131"/>
        <v>KYUFUKIN_PAYEE_ZOKUGARA_CD</v>
      </c>
      <c r="C553" s="87" t="s">
        <v>2332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850</v>
      </c>
      <c r="H553" s="127" t="s">
        <v>2329</v>
      </c>
      <c r="I553" s="127" t="s">
        <v>893</v>
      </c>
      <c r="J553" s="127" t="s">
        <v>1737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1739</v>
      </c>
      <c r="AA553" s="79"/>
    </row>
    <row r="554" spans="1:27">
      <c r="A554" s="135" t="s">
        <v>3813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850</v>
      </c>
      <c r="H554" s="127" t="s">
        <v>2329</v>
      </c>
      <c r="I554" s="127" t="s">
        <v>205</v>
      </c>
      <c r="J554" s="127" t="s">
        <v>2341</v>
      </c>
      <c r="K554" s="127" t="s">
        <v>1733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1739</v>
      </c>
      <c r="AA554" s="79"/>
    </row>
    <row r="555" spans="1:27">
      <c r="A555" s="96" t="s">
        <v>3812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850</v>
      </c>
      <c r="H555" s="127" t="s">
        <v>830</v>
      </c>
      <c r="I555" s="127" t="s">
        <v>391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1739</v>
      </c>
      <c r="AA555" s="79"/>
    </row>
    <row r="556" spans="1:27">
      <c r="A556" s="96" t="s">
        <v>3811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2296</v>
      </c>
      <c r="H556" s="127" t="s">
        <v>656</v>
      </c>
      <c r="I556" s="127" t="s">
        <v>341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1739</v>
      </c>
      <c r="AA556" s="79"/>
    </row>
    <row r="557" spans="1:27">
      <c r="A557" s="96" t="s">
        <v>3810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2296</v>
      </c>
      <c r="H557" s="127" t="s">
        <v>2572</v>
      </c>
      <c r="I557" s="127" t="s">
        <v>1314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1739</v>
      </c>
      <c r="AA557" s="79"/>
    </row>
    <row r="558" spans="1:27">
      <c r="A558" s="96" t="s">
        <v>3809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2296</v>
      </c>
      <c r="H558" s="127" t="s">
        <v>2455</v>
      </c>
      <c r="I558" s="127" t="s">
        <v>1314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1739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1739</v>
      </c>
      <c r="AA559" s="79"/>
    </row>
    <row r="560" spans="1:27">
      <c r="A560" s="141" t="s">
        <v>3808</v>
      </c>
      <c r="B560" s="83" t="str">
        <f t="shared" si="131"/>
        <v>KINZOKUNENSU_MONTH</v>
      </c>
      <c r="C560" s="87" t="s">
        <v>1832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2261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1739</v>
      </c>
      <c r="AA560" s="79"/>
    </row>
    <row r="561" spans="1:27">
      <c r="A561" s="141" t="s">
        <v>3807</v>
      </c>
      <c r="B561" s="83" t="str">
        <f t="shared" si="131"/>
        <v>KINZOKUNENSU_YEAR</v>
      </c>
      <c r="C561" s="87" t="s">
        <v>3806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959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1739</v>
      </c>
      <c r="AA561" s="79"/>
    </row>
    <row r="562" spans="1:27">
      <c r="A562" s="96" t="s">
        <v>3805</v>
      </c>
      <c r="B562" s="83" t="str">
        <f t="shared" si="131"/>
        <v>KIMMUSAKI_EMAIL</v>
      </c>
      <c r="C562" s="87" t="s">
        <v>2196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1837</v>
      </c>
      <c r="H562" s="127" t="s">
        <v>3804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1739</v>
      </c>
      <c r="AA562" s="79"/>
    </row>
    <row r="563" spans="1:27">
      <c r="A563" s="96" t="s">
        <v>3803</v>
      </c>
      <c r="B563" s="83" t="str">
        <f t="shared" si="131"/>
        <v>KIMMUSAKI_FAX_NO</v>
      </c>
      <c r="C563" s="87" t="s">
        <v>2447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1837</v>
      </c>
      <c r="H563" s="127" t="s">
        <v>3802</v>
      </c>
      <c r="I563" s="127" t="s">
        <v>1849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1739</v>
      </c>
      <c r="AA563" s="79"/>
    </row>
    <row r="564" spans="1:27">
      <c r="A564" s="96" t="s">
        <v>3801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1837</v>
      </c>
      <c r="H564" s="127" t="s">
        <v>1844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1739</v>
      </c>
      <c r="AA564" s="79"/>
    </row>
    <row r="565" spans="1:27">
      <c r="A565" s="96" t="s">
        <v>3800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1837</v>
      </c>
      <c r="H565" s="127" t="s">
        <v>1844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1739</v>
      </c>
      <c r="AA565" s="79"/>
    </row>
    <row r="566" spans="1:27">
      <c r="A566" s="96" t="s">
        <v>3799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1837</v>
      </c>
      <c r="H566" s="127" t="s">
        <v>1844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1739</v>
      </c>
      <c r="AA566" s="79"/>
    </row>
    <row r="567" spans="1:27">
      <c r="A567" s="96" t="s">
        <v>3798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1837</v>
      </c>
      <c r="H567" s="127" t="s">
        <v>1844</v>
      </c>
      <c r="I567" s="127" t="s">
        <v>2303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1739</v>
      </c>
      <c r="AA567" s="79"/>
    </row>
    <row r="568" spans="1:27">
      <c r="A568" s="96" t="s">
        <v>3797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1837</v>
      </c>
      <c r="H568" s="127" t="s">
        <v>1844</v>
      </c>
      <c r="I568" s="127" t="s">
        <v>2303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1739</v>
      </c>
      <c r="AA568" s="79"/>
    </row>
    <row r="569" spans="1:27">
      <c r="A569" s="96" t="s">
        <v>3796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1837</v>
      </c>
      <c r="H569" s="127" t="s">
        <v>1844</v>
      </c>
      <c r="I569" s="127" t="s">
        <v>2303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1739</v>
      </c>
      <c r="AA569" s="79"/>
    </row>
    <row r="570" spans="1:27">
      <c r="A570" s="96" t="s">
        <v>3795</v>
      </c>
      <c r="B570" s="83" t="str">
        <f t="shared" si="131"/>
        <v>KIMMUSAKI_DAIHYO_TEL</v>
      </c>
      <c r="C570" s="87" t="s">
        <v>2447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1837</v>
      </c>
      <c r="H570" s="127" t="s">
        <v>3007</v>
      </c>
      <c r="I570" s="127" t="s">
        <v>2446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1739</v>
      </c>
      <c r="AA570" s="79"/>
    </row>
    <row r="571" spans="1:27">
      <c r="A571" s="96" t="s">
        <v>3794</v>
      </c>
      <c r="B571" s="83" t="str">
        <f t="shared" si="131"/>
        <v>KIMMUSAKI_CHOKUTSU_TEL</v>
      </c>
      <c r="C571" s="87" t="s">
        <v>2447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1837</v>
      </c>
      <c r="H571" s="127" t="s">
        <v>3793</v>
      </c>
      <c r="I571" s="127" t="s">
        <v>2446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1739</v>
      </c>
      <c r="AA571" s="79"/>
    </row>
    <row r="572" spans="1:27">
      <c r="A572" s="96" t="s">
        <v>3792</v>
      </c>
      <c r="B572" s="83" t="str">
        <f t="shared" si="131"/>
        <v>KIMMUSAKI_NAME_KANA</v>
      </c>
      <c r="C572" s="87" t="s">
        <v>3791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1837</v>
      </c>
      <c r="H572" s="127" t="s">
        <v>2139</v>
      </c>
      <c r="I572" s="127" t="s">
        <v>2303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1739</v>
      </c>
      <c r="AA572" s="79"/>
    </row>
    <row r="573" spans="1:27">
      <c r="A573" s="96" t="s">
        <v>3790</v>
      </c>
      <c r="B573" s="83" t="str">
        <f t="shared" si="131"/>
        <v>KIMMUSAKI_NAME</v>
      </c>
      <c r="C573" s="87" t="s">
        <v>2147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1837</v>
      </c>
      <c r="H573" s="127" t="s">
        <v>2139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1739</v>
      </c>
      <c r="AA573" s="79"/>
    </row>
    <row r="574" spans="1:27">
      <c r="A574" s="96" t="s">
        <v>3789</v>
      </c>
      <c r="B574" s="83" t="str">
        <f t="shared" si="131"/>
        <v>KIMMUSAKI_ZIP_CD_1</v>
      </c>
      <c r="C574" s="87" t="s">
        <v>2167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1837</v>
      </c>
      <c r="H574" s="127" t="s">
        <v>2430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1739</v>
      </c>
      <c r="AA574" s="79"/>
    </row>
    <row r="575" spans="1:27">
      <c r="A575" s="96" t="s">
        <v>3788</v>
      </c>
      <c r="B575" s="83" t="str">
        <f t="shared" si="131"/>
        <v>KIMMUSAKI_ZIP_CD_2</v>
      </c>
      <c r="C575" s="87" t="s">
        <v>2165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1837</v>
      </c>
      <c r="H575" s="127" t="s">
        <v>2430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1739</v>
      </c>
      <c r="AA575" s="79"/>
    </row>
    <row r="576" spans="1:27">
      <c r="A576" s="96" t="s">
        <v>3787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3787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1739</v>
      </c>
      <c r="AA576" s="79"/>
    </row>
    <row r="577" spans="1:27">
      <c r="A577" s="96" t="s">
        <v>3786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3170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1739</v>
      </c>
      <c r="AA577" s="79"/>
    </row>
    <row r="578" spans="1:27">
      <c r="A578" s="135" t="s">
        <v>3785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298</v>
      </c>
      <c r="H578" s="127" t="s">
        <v>849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1739</v>
      </c>
      <c r="AA578" s="79"/>
    </row>
    <row r="579" spans="1:27">
      <c r="A579" s="88" t="s">
        <v>3784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298</v>
      </c>
      <c r="H579" s="127" t="s">
        <v>3783</v>
      </c>
      <c r="I579" s="127" t="s">
        <v>183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1739</v>
      </c>
      <c r="AA579" s="79"/>
    </row>
    <row r="580" spans="1:27">
      <c r="A580" s="141" t="s">
        <v>3782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298</v>
      </c>
      <c r="H580" s="127" t="s">
        <v>194</v>
      </c>
      <c r="I580" s="127" t="s">
        <v>183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1739</v>
      </c>
      <c r="AA580" s="79"/>
    </row>
    <row r="581" spans="1:27">
      <c r="A581" s="88" t="s">
        <v>3781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2871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365</v>
      </c>
      <c r="AA581" s="79"/>
    </row>
    <row r="582" spans="1:27">
      <c r="A582" s="96" t="s">
        <v>3780</v>
      </c>
      <c r="B582" s="83" t="str">
        <f t="shared" si="147"/>
        <v>PLCYHLDR_NAME_KANA</v>
      </c>
      <c r="C582" s="87" t="s">
        <v>2336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1123</v>
      </c>
      <c r="H582" s="127" t="s">
        <v>559</v>
      </c>
      <c r="I582" s="127" t="s">
        <v>2596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1739</v>
      </c>
      <c r="AA582" s="79"/>
    </row>
    <row r="583" spans="1:27">
      <c r="A583" s="141" t="s">
        <v>3779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1123</v>
      </c>
      <c r="H583" s="127" t="s">
        <v>451</v>
      </c>
      <c r="I583" s="127" t="s">
        <v>375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1739</v>
      </c>
      <c r="AA583" s="79"/>
    </row>
    <row r="584" spans="1:27">
      <c r="A584" s="141" t="s">
        <v>3778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1123</v>
      </c>
      <c r="H584" s="127" t="s">
        <v>375</v>
      </c>
      <c r="I584" s="127" t="s">
        <v>2608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1739</v>
      </c>
      <c r="AA584" s="79"/>
    </row>
    <row r="585" spans="1:27">
      <c r="A585" s="141" t="s">
        <v>3777</v>
      </c>
      <c r="B585" s="83" t="str">
        <f t="shared" si="147"/>
        <v>PLCYHLDR_IN_ENTRY_SUMI_FLG</v>
      </c>
      <c r="C585" s="87" t="s">
        <v>1728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1123</v>
      </c>
      <c r="H585" s="127" t="s">
        <v>3776</v>
      </c>
      <c r="I585" s="127" t="s">
        <v>3128</v>
      </c>
      <c r="J585" s="127" t="s">
        <v>465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365</v>
      </c>
      <c r="AA585" s="79"/>
    </row>
    <row r="586" spans="1:27">
      <c r="A586" s="170" t="s">
        <v>3775</v>
      </c>
      <c r="B586" s="83" t="str">
        <f t="shared" si="147"/>
        <v>PLCYHLDR_NAME</v>
      </c>
      <c r="C586" s="87" t="s">
        <v>559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1123</v>
      </c>
      <c r="H586" s="127" t="s">
        <v>559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1739</v>
      </c>
      <c r="AA586" s="79"/>
    </row>
    <row r="587" spans="1:27">
      <c r="A587" s="135" t="s">
        <v>3774</v>
      </c>
      <c r="B587" s="83" t="str">
        <f t="shared" si="147"/>
        <v>PLCYHLDR_SEX_CD</v>
      </c>
      <c r="C587" s="87" t="s">
        <v>1619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1123</v>
      </c>
      <c r="H587" s="127" t="s">
        <v>129</v>
      </c>
      <c r="I587" s="127" t="s">
        <v>1737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1487</v>
      </c>
      <c r="AA587" s="79"/>
    </row>
    <row r="588" spans="1:27">
      <c r="A588" s="133" t="s">
        <v>3773</v>
      </c>
      <c r="B588" s="83" t="str">
        <f t="shared" si="147"/>
        <v>PLCYHLDR_BIRTH</v>
      </c>
      <c r="C588" s="87" t="s">
        <v>1483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1123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1739</v>
      </c>
      <c r="AA588" s="79"/>
    </row>
    <row r="589" spans="1:27">
      <c r="A589" s="96" t="s">
        <v>3772</v>
      </c>
      <c r="B589" s="83" t="str">
        <f t="shared" si="147"/>
        <v>PLCYHLDR_ZOKUGARA_CD</v>
      </c>
      <c r="C589" s="87" t="s">
        <v>3771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1123</v>
      </c>
      <c r="H589" s="127" t="s">
        <v>893</v>
      </c>
      <c r="I589" s="127" t="s">
        <v>1737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1739</v>
      </c>
      <c r="AA589" s="79"/>
    </row>
    <row r="590" spans="1:27">
      <c r="A590" s="135" t="s">
        <v>3770</v>
      </c>
      <c r="B590" s="83" t="str">
        <f t="shared" si="147"/>
        <v>PLCYHLDR_ZOKUGARA_CD_OTHER</v>
      </c>
      <c r="C590" s="87" t="s">
        <v>2332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1123</v>
      </c>
      <c r="H590" s="127" t="s">
        <v>2169</v>
      </c>
      <c r="I590" s="127" t="s">
        <v>1737</v>
      </c>
      <c r="J590" s="127" t="s">
        <v>207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1739</v>
      </c>
      <c r="AA590" s="79"/>
    </row>
    <row r="591" spans="1:27">
      <c r="A591" s="142" t="s">
        <v>3769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1123</v>
      </c>
      <c r="H591" s="127" t="s">
        <v>3012</v>
      </c>
      <c r="I591" s="127" t="s">
        <v>3768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1739</v>
      </c>
      <c r="AA591" s="79"/>
    </row>
    <row r="592" spans="1:27">
      <c r="A592" s="135" t="s">
        <v>3767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1123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1739</v>
      </c>
      <c r="AA592" s="79"/>
    </row>
    <row r="593" spans="1:27">
      <c r="A593" s="96" t="s">
        <v>3766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298</v>
      </c>
      <c r="H593" s="127" t="s">
        <v>740</v>
      </c>
      <c r="I593" s="127" t="s">
        <v>341</v>
      </c>
      <c r="J593" s="127" t="s">
        <v>183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1739</v>
      </c>
      <c r="AA593" s="79"/>
    </row>
    <row r="594" spans="1:27">
      <c r="A594" s="138" t="s">
        <v>3765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298</v>
      </c>
      <c r="H594" s="127" t="s">
        <v>1828</v>
      </c>
      <c r="I594" s="127" t="s">
        <v>183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1739</v>
      </c>
      <c r="AA594" s="79"/>
    </row>
    <row r="595" spans="1:27">
      <c r="A595" s="141" t="s">
        <v>3764</v>
      </c>
      <c r="B595" s="83" t="str">
        <f t="shared" si="147"/>
        <v>PLCY_C_SETSUMEI_FLG</v>
      </c>
      <c r="C595" s="87" t="s">
        <v>1728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298</v>
      </c>
      <c r="H595" s="127" t="s">
        <v>375</v>
      </c>
      <c r="I595" s="127" t="s">
        <v>6</v>
      </c>
      <c r="J595" s="127" t="s">
        <v>465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1487</v>
      </c>
      <c r="AA595" s="79"/>
    </row>
    <row r="596" spans="1:27">
      <c r="A596" s="135" t="s">
        <v>795</v>
      </c>
      <c r="B596" s="83" t="str">
        <f t="shared" si="147"/>
        <v>PLCY_DATE</v>
      </c>
      <c r="C596" s="87" t="s">
        <v>1483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1988</v>
      </c>
      <c r="H596" s="127" t="s">
        <v>2182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1487</v>
      </c>
      <c r="AA596" s="79"/>
    </row>
    <row r="597" spans="1:27">
      <c r="A597" s="171" t="s">
        <v>3763</v>
      </c>
      <c r="B597" s="83" t="str">
        <f t="shared" si="147"/>
        <v>PLCY_PLAN_DATE</v>
      </c>
      <c r="C597" s="87" t="s">
        <v>1483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298</v>
      </c>
      <c r="H597" s="127" t="s">
        <v>2271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1739</v>
      </c>
      <c r="AA597" s="79"/>
    </row>
    <row r="598" spans="1:27">
      <c r="A598" s="139" t="s">
        <v>3762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3761</v>
      </c>
      <c r="H598" s="127" t="s">
        <v>2444</v>
      </c>
      <c r="I598" s="127" t="s">
        <v>445</v>
      </c>
      <c r="J598" s="127" t="s">
        <v>955</v>
      </c>
      <c r="K598" s="127" t="s">
        <v>341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1739</v>
      </c>
      <c r="AA598" s="79"/>
    </row>
    <row r="599" spans="1:27">
      <c r="A599" s="142" t="s">
        <v>3760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3759</v>
      </c>
      <c r="H599" s="127" t="s">
        <v>3758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1739</v>
      </c>
      <c r="AA599" s="79"/>
    </row>
    <row r="600" spans="1:27">
      <c r="A600" s="142" t="s">
        <v>3757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3757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1739</v>
      </c>
      <c r="AA600" s="79"/>
    </row>
    <row r="601" spans="1:27">
      <c r="A601" s="145" t="s">
        <v>3756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3755</v>
      </c>
      <c r="H601" s="127" t="s">
        <v>183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1739</v>
      </c>
      <c r="AA601" s="79"/>
    </row>
    <row r="602" spans="1:27">
      <c r="A602" s="141" t="s">
        <v>3754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1088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1739</v>
      </c>
      <c r="AA602" s="79"/>
    </row>
    <row r="603" spans="1:27">
      <c r="A603" s="141" t="s">
        <v>3753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1088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1739</v>
      </c>
      <c r="AA603" s="79"/>
    </row>
    <row r="604" spans="1:27">
      <c r="A604" s="96" t="s">
        <v>3752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2388</v>
      </c>
      <c r="H604" s="127" t="s">
        <v>183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1739</v>
      </c>
      <c r="AA604" s="79"/>
    </row>
    <row r="605" spans="1:27">
      <c r="A605" s="96" t="s">
        <v>3751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2388</v>
      </c>
      <c r="H605" s="127" t="s">
        <v>461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1739</v>
      </c>
      <c r="AA605" s="79"/>
    </row>
    <row r="606" spans="1:27">
      <c r="A606" s="96" t="s">
        <v>3750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2388</v>
      </c>
      <c r="H606" s="127" t="s">
        <v>2516</v>
      </c>
      <c r="I606" s="127" t="s">
        <v>183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1739</v>
      </c>
      <c r="AA606" s="79"/>
    </row>
    <row r="607" spans="1:27">
      <c r="A607" s="96" t="s">
        <v>3749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672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1739</v>
      </c>
      <c r="AA607" s="79"/>
    </row>
    <row r="608" spans="1:27">
      <c r="A608" s="96" t="s">
        <v>3748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672</v>
      </c>
      <c r="H608" s="127" t="s">
        <v>2455</v>
      </c>
      <c r="I608" s="127" t="s">
        <v>1314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1739</v>
      </c>
      <c r="AA608" s="79"/>
    </row>
    <row r="609" spans="1:27">
      <c r="A609" s="96" t="s">
        <v>3747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672</v>
      </c>
      <c r="H609" s="127" t="s">
        <v>2572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1739</v>
      </c>
      <c r="AA609" s="79"/>
    </row>
    <row r="610" spans="1:27">
      <c r="A610" s="96" t="s">
        <v>3746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672</v>
      </c>
      <c r="H610" s="127" t="s">
        <v>2572</v>
      </c>
      <c r="I610" s="127" t="s">
        <v>1314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1739</v>
      </c>
      <c r="AA610" s="79"/>
    </row>
    <row r="611" spans="1:27">
      <c r="A611" s="96" t="s">
        <v>3745</v>
      </c>
      <c r="B611" s="83" t="str">
        <f t="shared" si="147"/>
        <v>KEKKON_PLAN_UMU_FLG</v>
      </c>
      <c r="C611" s="87" t="s">
        <v>1728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672</v>
      </c>
      <c r="H611" s="127" t="s">
        <v>2274</v>
      </c>
      <c r="I611" s="127" t="s">
        <v>341</v>
      </c>
      <c r="J611" s="127" t="s">
        <v>465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1739</v>
      </c>
      <c r="AA611" s="79"/>
    </row>
    <row r="612" spans="1:27">
      <c r="A612" s="159" t="s">
        <v>3744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1739</v>
      </c>
      <c r="AA612" s="79"/>
    </row>
    <row r="613" spans="1:27">
      <c r="A613" s="96" t="s">
        <v>3743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353</v>
      </c>
      <c r="H613" s="127" t="s">
        <v>2618</v>
      </c>
      <c r="I613" s="127" t="s">
        <v>2620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1739</v>
      </c>
      <c r="AA613" s="79"/>
    </row>
    <row r="614" spans="1:27">
      <c r="A614" s="96" t="s">
        <v>3742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353</v>
      </c>
      <c r="H614" s="127" t="s">
        <v>2618</v>
      </c>
      <c r="I614" s="127" t="s">
        <v>2617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1739</v>
      </c>
      <c r="AA614" s="79"/>
    </row>
    <row r="615" spans="1:27">
      <c r="A615" s="141" t="s">
        <v>3741</v>
      </c>
      <c r="B615" s="83" t="str">
        <f t="shared" si="147"/>
        <v>KENKO_JOTAI_FLG</v>
      </c>
      <c r="C615" s="87" t="s">
        <v>1728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1829</v>
      </c>
      <c r="H615" s="127" t="s">
        <v>1828</v>
      </c>
      <c r="I615" s="127" t="s">
        <v>465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1739</v>
      </c>
      <c r="AA615" s="79"/>
    </row>
    <row r="616" spans="1:27">
      <c r="A616" s="159" t="s">
        <v>3740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1829</v>
      </c>
      <c r="H616" s="127" t="s">
        <v>360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1739</v>
      </c>
      <c r="AA616" s="79"/>
    </row>
    <row r="617" spans="1:27">
      <c r="A617" s="96" t="s">
        <v>3739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2372</v>
      </c>
      <c r="H617" s="127" t="s">
        <v>2918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1739</v>
      </c>
      <c r="AA617" s="79"/>
    </row>
    <row r="618" spans="1:27">
      <c r="A618" s="96" t="s">
        <v>3738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2372</v>
      </c>
      <c r="H618" s="127" t="s">
        <v>2379</v>
      </c>
      <c r="I618" s="127" t="s">
        <v>2213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1739</v>
      </c>
      <c r="AA618" s="79"/>
    </row>
    <row r="619" spans="1:27">
      <c r="A619" s="96" t="s">
        <v>3737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2372</v>
      </c>
      <c r="H619" s="127" t="s">
        <v>2379</v>
      </c>
      <c r="I619" s="127" t="s">
        <v>864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1739</v>
      </c>
      <c r="AA619" s="79"/>
    </row>
    <row r="620" spans="1:27">
      <c r="A620" s="96" t="s">
        <v>3736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2372</v>
      </c>
      <c r="H620" s="127" t="s">
        <v>3175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1739</v>
      </c>
      <c r="AA620" s="79"/>
    </row>
    <row r="621" spans="1:27">
      <c r="A621" s="96" t="s">
        <v>3735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2372</v>
      </c>
      <c r="H621" s="127" t="s">
        <v>3734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1739</v>
      </c>
      <c r="AA621" s="79"/>
    </row>
    <row r="622" spans="1:27">
      <c r="A622" s="96" t="s">
        <v>3733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2372</v>
      </c>
      <c r="H622" s="127" t="s">
        <v>391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1739</v>
      </c>
      <c r="AA622" s="79"/>
    </row>
    <row r="623" spans="1:27">
      <c r="A623" s="140" t="s">
        <v>3732</v>
      </c>
      <c r="B623" s="83" t="str">
        <f t="shared" si="147"/>
        <v>GENZAI_HOSHU_GETSUGAKU</v>
      </c>
      <c r="C623" s="266" t="s">
        <v>753</v>
      </c>
      <c r="D623" s="82" t="str">
        <f t="shared" si="160"/>
        <v>Number</v>
      </c>
      <c r="E623" s="82">
        <f t="shared" si="161"/>
        <v>11</v>
      </c>
      <c r="F623" s="82" t="str">
        <f t="shared" si="162"/>
        <v/>
      </c>
      <c r="G623" s="128" t="s">
        <v>2372</v>
      </c>
      <c r="H623" s="127" t="s">
        <v>2453</v>
      </c>
      <c r="I623" s="127" t="s">
        <v>2452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1549</v>
      </c>
      <c r="AA623" s="267" t="s">
        <v>6506</v>
      </c>
    </row>
    <row r="624" spans="1:27">
      <c r="A624" s="138" t="s">
        <v>3731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3727</v>
      </c>
      <c r="H624" s="127" t="s">
        <v>3730</v>
      </c>
      <c r="I624" s="127" t="s">
        <v>3729</v>
      </c>
      <c r="J624" s="127" t="s">
        <v>3726</v>
      </c>
      <c r="K624" s="127" t="s">
        <v>3725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1549</v>
      </c>
      <c r="AA624" s="79"/>
    </row>
    <row r="625" spans="1:27">
      <c r="A625" s="138" t="s">
        <v>3728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3727</v>
      </c>
      <c r="H625" s="127" t="s">
        <v>3026</v>
      </c>
      <c r="I625" s="127" t="s">
        <v>3726</v>
      </c>
      <c r="J625" s="127" t="s">
        <v>3725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1549</v>
      </c>
      <c r="AA625" s="79"/>
    </row>
    <row r="626" spans="1:27">
      <c r="A626" s="96" t="s">
        <v>3724</v>
      </c>
      <c r="B626" s="83" t="str">
        <f t="shared" si="147"/>
        <v>KOJIN_NENKIN_UMU_FLG</v>
      </c>
      <c r="C626" s="87" t="s">
        <v>3114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1085</v>
      </c>
      <c r="H626" s="127" t="s">
        <v>1914</v>
      </c>
      <c r="I626" s="127" t="s">
        <v>341</v>
      </c>
      <c r="J626" s="127" t="s">
        <v>465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1739</v>
      </c>
      <c r="AA626" s="79"/>
    </row>
    <row r="627" spans="1:27">
      <c r="A627" s="96" t="s">
        <v>3723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1085</v>
      </c>
      <c r="H627" s="127" t="s">
        <v>195</v>
      </c>
      <c r="I627" s="127" t="s">
        <v>177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1739</v>
      </c>
      <c r="AA627" s="79"/>
    </row>
    <row r="628" spans="1:27">
      <c r="A628" s="142" t="s">
        <v>3722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3714</v>
      </c>
      <c r="H628" s="127" t="s">
        <v>3721</v>
      </c>
      <c r="I628" s="127" t="s">
        <v>391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1739</v>
      </c>
      <c r="AA628" s="79"/>
    </row>
    <row r="629" spans="1:27">
      <c r="A629" s="142" t="s">
        <v>3720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3714</v>
      </c>
      <c r="H629" s="127" t="s">
        <v>2551</v>
      </c>
      <c r="I629" s="127" t="s">
        <v>718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1739</v>
      </c>
      <c r="AA629" s="79"/>
    </row>
    <row r="630" spans="1:27">
      <c r="A630" s="142" t="s">
        <v>3719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3714</v>
      </c>
      <c r="H630" s="127" t="s">
        <v>2525</v>
      </c>
      <c r="I630" s="127" t="s">
        <v>3712</v>
      </c>
      <c r="J630" s="127" t="s">
        <v>718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1739</v>
      </c>
      <c r="AA630" s="79"/>
    </row>
    <row r="631" spans="1:27">
      <c r="A631" s="149" t="s">
        <v>3718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3714</v>
      </c>
      <c r="H631" s="127" t="s">
        <v>2525</v>
      </c>
      <c r="I631" s="127" t="s">
        <v>3717</v>
      </c>
      <c r="J631" s="127" t="s">
        <v>3712</v>
      </c>
      <c r="K631" s="127" t="s">
        <v>718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1739</v>
      </c>
      <c r="AA631" s="79"/>
    </row>
    <row r="632" spans="1:27">
      <c r="A632" s="149" t="s">
        <v>3716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3714</v>
      </c>
      <c r="H632" s="127" t="s">
        <v>2525</v>
      </c>
      <c r="I632" s="127" t="s">
        <v>954</v>
      </c>
      <c r="J632" s="127" t="s">
        <v>3712</v>
      </c>
      <c r="K632" s="127" t="s">
        <v>718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1739</v>
      </c>
      <c r="AA632" s="79"/>
    </row>
    <row r="633" spans="1:27">
      <c r="A633" s="149" t="s">
        <v>3715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3714</v>
      </c>
      <c r="H633" s="127" t="s">
        <v>2525</v>
      </c>
      <c r="I633" s="127" t="s">
        <v>3713</v>
      </c>
      <c r="J633" s="127" t="s">
        <v>3712</v>
      </c>
      <c r="K633" s="127" t="s">
        <v>718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1739</v>
      </c>
      <c r="AA633" s="79"/>
    </row>
    <row r="634" spans="1:27">
      <c r="A634" s="96" t="s">
        <v>3711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2669</v>
      </c>
      <c r="H634" s="127" t="s">
        <v>3710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1739</v>
      </c>
      <c r="AA634" s="79"/>
    </row>
    <row r="635" spans="1:27">
      <c r="A635" s="96" t="s">
        <v>3709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2669</v>
      </c>
      <c r="H635" s="127" t="s">
        <v>2449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1739</v>
      </c>
      <c r="AA635" s="79"/>
    </row>
    <row r="636" spans="1:27">
      <c r="A636" s="133" t="s">
        <v>3708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2669</v>
      </c>
      <c r="H636" s="127" t="s">
        <v>2117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365</v>
      </c>
      <c r="AA636" s="79"/>
    </row>
    <row r="637" spans="1:27">
      <c r="A637" s="143" t="s">
        <v>3707</v>
      </c>
      <c r="B637" s="83" t="str">
        <f t="shared" si="147"/>
        <v>CUST_NAME_KANA</v>
      </c>
      <c r="C637" s="87" t="s">
        <v>2336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2669</v>
      </c>
      <c r="H637" s="127" t="s">
        <v>559</v>
      </c>
      <c r="I637" s="127" t="s">
        <v>2596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365</v>
      </c>
      <c r="AA637" s="79"/>
    </row>
    <row r="638" spans="1:27">
      <c r="A638" s="170" t="s">
        <v>3706</v>
      </c>
      <c r="B638" s="83" t="str">
        <f t="shared" si="147"/>
        <v>CUST_NAME</v>
      </c>
      <c r="C638" s="87" t="s">
        <v>559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2669</v>
      </c>
      <c r="H638" s="127" t="s">
        <v>559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1739</v>
      </c>
      <c r="AA638" s="79"/>
    </row>
    <row r="639" spans="1:27">
      <c r="A639" s="143" t="s">
        <v>3705</v>
      </c>
      <c r="B639" s="83" t="str">
        <f t="shared" si="147"/>
        <v>CUST_KANRI_NO</v>
      </c>
      <c r="C639" s="87" t="s">
        <v>3688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2669</v>
      </c>
      <c r="H639" s="127" t="s">
        <v>3704</v>
      </c>
      <c r="I639" s="127" t="s">
        <v>2117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1739</v>
      </c>
      <c r="AA639" s="79"/>
    </row>
    <row r="640" spans="1:27">
      <c r="A640" s="96" t="s">
        <v>3703</v>
      </c>
      <c r="B640" s="83" t="str">
        <f t="shared" si="147"/>
        <v>CUST_KEITAI_NO</v>
      </c>
      <c r="C640" s="87" t="s">
        <v>2447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2669</v>
      </c>
      <c r="H640" s="127" t="s">
        <v>3702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1739</v>
      </c>
      <c r="AA640" s="79"/>
    </row>
    <row r="641" spans="1:27">
      <c r="A641" s="143" t="s">
        <v>3701</v>
      </c>
      <c r="B641" s="83" t="str">
        <f t="shared" si="147"/>
        <v>CUST_ADDR_1</v>
      </c>
      <c r="C641" s="87" t="s">
        <v>3698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2669</v>
      </c>
      <c r="H641" s="127" t="s">
        <v>1844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1739</v>
      </c>
      <c r="AA641" s="79"/>
    </row>
    <row r="642" spans="1:27">
      <c r="A642" s="143" t="s">
        <v>3700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3698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2669</v>
      </c>
      <c r="H642" s="127" t="s">
        <v>1844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1739</v>
      </c>
      <c r="AA642" s="79"/>
    </row>
    <row r="643" spans="1:27">
      <c r="A643" s="143" t="s">
        <v>3699</v>
      </c>
      <c r="B643" s="83" t="str">
        <f t="shared" si="163"/>
        <v>CUST_ADDR_3</v>
      </c>
      <c r="C643" s="87" t="s">
        <v>3698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2669</v>
      </c>
      <c r="H643" s="127" t="s">
        <v>1844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1739</v>
      </c>
      <c r="AA643" s="79"/>
    </row>
    <row r="644" spans="1:27">
      <c r="A644" s="96" t="s">
        <v>3697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2669</v>
      </c>
      <c r="H644" s="127" t="s">
        <v>1844</v>
      </c>
      <c r="I644" s="127" t="s">
        <v>2303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1739</v>
      </c>
      <c r="AA644" s="79"/>
    </row>
    <row r="645" spans="1:27">
      <c r="A645" s="96" t="s">
        <v>3696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2669</v>
      </c>
      <c r="H645" s="127" t="s">
        <v>1844</v>
      </c>
      <c r="I645" s="127" t="s">
        <v>2303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1739</v>
      </c>
      <c r="AA645" s="79"/>
    </row>
    <row r="646" spans="1:27">
      <c r="A646" s="96" t="s">
        <v>3695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2669</v>
      </c>
      <c r="H646" s="127" t="s">
        <v>1844</v>
      </c>
      <c r="I646" s="127" t="s">
        <v>2303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1739</v>
      </c>
      <c r="AA646" s="79"/>
    </row>
    <row r="647" spans="1:27">
      <c r="A647" s="145" t="s">
        <v>3694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2669</v>
      </c>
      <c r="H647" s="127" t="s">
        <v>1844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1739</v>
      </c>
      <c r="AA647" s="79"/>
    </row>
    <row r="648" spans="1:27">
      <c r="A648" s="143" t="s">
        <v>3693</v>
      </c>
      <c r="B648" s="83" t="str">
        <f t="shared" si="163"/>
        <v>CUST_SEX_CD</v>
      </c>
      <c r="C648" s="87" t="s">
        <v>1619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2669</v>
      </c>
      <c r="H648" s="127" t="s">
        <v>129</v>
      </c>
      <c r="I648" s="127" t="s">
        <v>1737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1487</v>
      </c>
      <c r="AA648" s="79"/>
    </row>
    <row r="649" spans="1:27">
      <c r="A649" s="144" t="s">
        <v>3692</v>
      </c>
      <c r="B649" s="83" t="str">
        <f t="shared" si="163"/>
        <v>CUST_BIRTH</v>
      </c>
      <c r="C649" s="87" t="s">
        <v>1483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2669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1739</v>
      </c>
      <c r="AA649" s="79"/>
    </row>
    <row r="650" spans="1:27">
      <c r="A650" s="96" t="s">
        <v>3691</v>
      </c>
      <c r="B650" s="83" t="str">
        <f t="shared" si="163"/>
        <v>CUST_TEL_NO</v>
      </c>
      <c r="C650" s="87" t="s">
        <v>2447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2669</v>
      </c>
      <c r="H650" s="127" t="s">
        <v>2151</v>
      </c>
      <c r="I650" s="127" t="s">
        <v>1890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1739</v>
      </c>
      <c r="AA650" s="79"/>
    </row>
    <row r="651" spans="1:27">
      <c r="A651" s="145" t="s">
        <v>3690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2669</v>
      </c>
      <c r="H651" s="127" t="s">
        <v>3689</v>
      </c>
      <c r="I651" s="127" t="s">
        <v>183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1739</v>
      </c>
      <c r="AA651" s="79"/>
    </row>
    <row r="652" spans="1:27">
      <c r="A652" s="135" t="s">
        <v>2599</v>
      </c>
      <c r="B652" s="83" t="str">
        <f t="shared" si="163"/>
        <v>CUST_NO</v>
      </c>
      <c r="C652" s="87" t="s">
        <v>3688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2669</v>
      </c>
      <c r="H652" s="127" t="s">
        <v>1849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1739</v>
      </c>
      <c r="AA652" s="79"/>
    </row>
    <row r="653" spans="1:27">
      <c r="A653" s="145" t="s">
        <v>3687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2669</v>
      </c>
      <c r="H653" s="127" t="s">
        <v>2430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1739</v>
      </c>
      <c r="AA653" s="79"/>
    </row>
    <row r="654" spans="1:27">
      <c r="A654" s="133" t="s">
        <v>3686</v>
      </c>
      <c r="B654" s="83" t="str">
        <f t="shared" si="163"/>
        <v>CUST_ZIP_CD_1</v>
      </c>
      <c r="C654" s="87" t="s">
        <v>2167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2669</v>
      </c>
      <c r="H654" s="127" t="s">
        <v>2430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1739</v>
      </c>
      <c r="AA654" s="79"/>
    </row>
    <row r="655" spans="1:27">
      <c r="A655" s="133" t="s">
        <v>3685</v>
      </c>
      <c r="B655" s="83" t="str">
        <f t="shared" si="163"/>
        <v>CUST_ZIP_CD_2</v>
      </c>
      <c r="C655" s="87" t="s">
        <v>2165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2669</v>
      </c>
      <c r="H655" s="127" t="s">
        <v>2430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1739</v>
      </c>
      <c r="AA655" s="79"/>
    </row>
    <row r="656" spans="1:27">
      <c r="A656" s="96" t="s">
        <v>3684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3575</v>
      </c>
      <c r="H656" s="127" t="s">
        <v>3574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1739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3683</v>
      </c>
      <c r="H657" s="127" t="s">
        <v>3682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1739</v>
      </c>
      <c r="AA657" s="79"/>
    </row>
    <row r="658" spans="1:27">
      <c r="A658" s="96" t="s">
        <v>3681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1118</v>
      </c>
      <c r="H658" s="127" t="s">
        <v>3679</v>
      </c>
      <c r="I658" s="127" t="s">
        <v>764</v>
      </c>
      <c r="J658" s="127" t="s">
        <v>183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182</v>
      </c>
      <c r="AA658" s="79"/>
    </row>
    <row r="659" spans="1:27">
      <c r="A659" s="143" t="s">
        <v>3680</v>
      </c>
      <c r="B659" s="83" t="str">
        <f t="shared" si="163"/>
        <v>KOZA_FURIKAE_RIDER_UMU_KB</v>
      </c>
      <c r="C659" s="87" t="s">
        <v>180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1118</v>
      </c>
      <c r="H659" s="127" t="s">
        <v>3679</v>
      </c>
      <c r="I659" s="127" t="s">
        <v>764</v>
      </c>
      <c r="J659" s="127" t="s">
        <v>341</v>
      </c>
      <c r="K659" s="127" t="s">
        <v>177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1739</v>
      </c>
      <c r="AA659" s="79"/>
    </row>
    <row r="660" spans="1:27">
      <c r="A660" s="135" t="s">
        <v>3678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3677</v>
      </c>
      <c r="H660" s="127" t="s">
        <v>3676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1739</v>
      </c>
      <c r="AA660" s="79"/>
    </row>
    <row r="661" spans="1:27">
      <c r="A661" s="96" t="s">
        <v>3675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294</v>
      </c>
      <c r="H661" s="127" t="s">
        <v>864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1739</v>
      </c>
      <c r="AA661" s="79"/>
    </row>
    <row r="662" spans="1:27">
      <c r="A662" s="88" t="s">
        <v>3674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294</v>
      </c>
      <c r="H662" s="127" t="s">
        <v>864</v>
      </c>
      <c r="I662" s="127" t="s">
        <v>751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1739</v>
      </c>
      <c r="AA662" s="79"/>
    </row>
    <row r="663" spans="1:27">
      <c r="A663" s="88" t="s">
        <v>3673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294</v>
      </c>
      <c r="H663" s="127" t="s">
        <v>751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1739</v>
      </c>
      <c r="AA663" s="79"/>
    </row>
    <row r="664" spans="1:27">
      <c r="A664" s="133" t="s">
        <v>3672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3672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1739</v>
      </c>
      <c r="AA664" s="79"/>
    </row>
    <row r="665" spans="1:27">
      <c r="A665" s="96" t="s">
        <v>3671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3671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1487</v>
      </c>
      <c r="AA665" s="79"/>
    </row>
    <row r="666" spans="1:27">
      <c r="A666" s="96" t="s">
        <v>3669</v>
      </c>
      <c r="B666" s="83" t="str">
        <f t="shared" si="163"/>
        <v>KONYU_DATE</v>
      </c>
      <c r="C666" s="87" t="s">
        <v>1483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3669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1739</v>
      </c>
      <c r="AA666" s="79"/>
    </row>
    <row r="667" spans="1:27">
      <c r="A667" s="96" t="s">
        <v>3670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3669</v>
      </c>
      <c r="H667" s="127" t="s">
        <v>2259</v>
      </c>
      <c r="I667" s="127" t="s">
        <v>183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1739</v>
      </c>
      <c r="AA667" s="79"/>
    </row>
    <row r="668" spans="1:27">
      <c r="A668" s="96" t="s">
        <v>3668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3668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1739</v>
      </c>
      <c r="AA668" s="79"/>
    </row>
    <row r="669" spans="1:27">
      <c r="A669" s="135" t="s">
        <v>3667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3666</v>
      </c>
      <c r="H669" s="127" t="s">
        <v>298</v>
      </c>
      <c r="I669" s="127" t="s">
        <v>2461</v>
      </c>
      <c r="J669" s="127" t="s">
        <v>862</v>
      </c>
      <c r="K669" s="127" t="s">
        <v>190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1739</v>
      </c>
      <c r="AA669" s="79"/>
    </row>
    <row r="670" spans="1:27">
      <c r="A670" s="96" t="s">
        <v>3665</v>
      </c>
      <c r="B670" s="83" t="str">
        <f t="shared" si="163"/>
        <v>TAKAWARI_HANTEI_S_MIN</v>
      </c>
      <c r="C670" s="87" t="s">
        <v>3664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3663</v>
      </c>
      <c r="H670" s="127" t="s">
        <v>739</v>
      </c>
      <c r="I670" s="127" t="s">
        <v>1235</v>
      </c>
      <c r="J670" s="127" t="s">
        <v>3662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1739</v>
      </c>
      <c r="AA670" s="79"/>
    </row>
    <row r="671" spans="1:27">
      <c r="A671" s="96" t="s">
        <v>3661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2962</v>
      </c>
      <c r="H671" s="127" t="s">
        <v>831</v>
      </c>
      <c r="I671" s="127" t="s">
        <v>183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1739</v>
      </c>
      <c r="AA671" s="79"/>
    </row>
    <row r="672" spans="1:27">
      <c r="A672" s="96" t="s">
        <v>3660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2962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1739</v>
      </c>
      <c r="AA672" s="79"/>
    </row>
    <row r="673" spans="1:27">
      <c r="A673" s="96" t="s">
        <v>3659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1314</v>
      </c>
      <c r="H673" s="127" t="s">
        <v>2859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1739</v>
      </c>
      <c r="AA673" s="79"/>
    </row>
    <row r="674" spans="1:27">
      <c r="A674" s="135" t="s">
        <v>3658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1314</v>
      </c>
      <c r="H674" s="127" t="s">
        <v>834</v>
      </c>
      <c r="I674" s="127" t="s">
        <v>2794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1739</v>
      </c>
      <c r="AA674" s="79"/>
    </row>
    <row r="675" spans="1:27">
      <c r="A675" s="96" t="s">
        <v>3657</v>
      </c>
      <c r="B675" s="83" t="str">
        <f t="shared" si="163"/>
        <v>GOKEI_P</v>
      </c>
      <c r="C675" s="87" t="s">
        <v>753</v>
      </c>
      <c r="D675" s="82" t="str">
        <f t="shared" si="160"/>
        <v>Number</v>
      </c>
      <c r="E675" s="82">
        <f t="shared" si="161"/>
        <v>11</v>
      </c>
      <c r="F675" s="82" t="str">
        <f t="shared" si="162"/>
        <v/>
      </c>
      <c r="G675" s="128" t="s">
        <v>1314</v>
      </c>
      <c r="H675" s="127" t="s">
        <v>391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1739</v>
      </c>
      <c r="AA675" s="79"/>
    </row>
    <row r="676" spans="1:27">
      <c r="A676" s="135" t="s">
        <v>3656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3655</v>
      </c>
      <c r="H676" s="127" t="s">
        <v>842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1739</v>
      </c>
      <c r="AA676" s="79"/>
    </row>
    <row r="677" spans="1:27">
      <c r="A677" s="144" t="s">
        <v>3654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3653</v>
      </c>
      <c r="H677" s="127" t="s">
        <v>1914</v>
      </c>
      <c r="I677" s="127" t="s">
        <v>205</v>
      </c>
      <c r="J677" s="127" t="s">
        <v>864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1739</v>
      </c>
      <c r="AA677" s="79"/>
    </row>
    <row r="678" spans="1:27">
      <c r="A678" s="96" t="s">
        <v>3652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3648</v>
      </c>
      <c r="H678" s="127" t="s">
        <v>3175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1739</v>
      </c>
      <c r="AA678" s="79"/>
    </row>
    <row r="679" spans="1:27">
      <c r="A679" s="96" t="s">
        <v>3651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3648</v>
      </c>
      <c r="H679" s="127" t="s">
        <v>2704</v>
      </c>
      <c r="I679" s="127" t="s">
        <v>3650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1739</v>
      </c>
      <c r="AA679" s="79"/>
    </row>
    <row r="680" spans="1:27">
      <c r="A680" s="96" t="s">
        <v>3649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3648</v>
      </c>
      <c r="H680" s="127" t="s">
        <v>391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1739</v>
      </c>
      <c r="AA680" s="79"/>
    </row>
    <row r="681" spans="1:27">
      <c r="A681" s="159" t="s">
        <v>3647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3646</v>
      </c>
      <c r="H681" s="127" t="s">
        <v>3645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1739</v>
      </c>
      <c r="AA681" s="79"/>
    </row>
    <row r="682" spans="1:27">
      <c r="A682" s="163" t="s">
        <v>3644</v>
      </c>
      <c r="B682" s="83" t="str">
        <f t="shared" si="163"/>
        <v>SATEI_NENGETSU</v>
      </c>
      <c r="C682" s="87" t="s">
        <v>2019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3643</v>
      </c>
      <c r="H682" s="127" t="s">
        <v>3642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1487</v>
      </c>
      <c r="AA682" s="79"/>
    </row>
    <row r="683" spans="1:27">
      <c r="A683" s="96" t="s">
        <v>3641</v>
      </c>
      <c r="B683" s="83" t="str">
        <f t="shared" si="163"/>
        <v>LAST_WIN_LOGIN_DATE</v>
      </c>
      <c r="C683" s="87" t="s">
        <v>1483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3624</v>
      </c>
      <c r="H683" s="127" t="s">
        <v>3640</v>
      </c>
      <c r="I683" s="127" t="s">
        <v>3639</v>
      </c>
      <c r="J683" s="127" t="s">
        <v>3638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1739</v>
      </c>
      <c r="AA683" s="79"/>
    </row>
    <row r="684" spans="1:27">
      <c r="A684" s="96" t="s">
        <v>3637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3624</v>
      </c>
      <c r="H684" s="127" t="s">
        <v>3636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1487</v>
      </c>
      <c r="AA684" s="79"/>
    </row>
    <row r="685" spans="1:27">
      <c r="A685" s="88" t="s">
        <v>3635</v>
      </c>
      <c r="B685" s="83" t="str">
        <f t="shared" si="163"/>
        <v>LAST_JISSHI_DATE</v>
      </c>
      <c r="C685" s="87" t="s">
        <v>1483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3624</v>
      </c>
      <c r="H685" s="127" t="s">
        <v>3496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1739</v>
      </c>
      <c r="AA685" s="79"/>
    </row>
    <row r="686" spans="1:27">
      <c r="A686" s="88" t="s">
        <v>3634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3624</v>
      </c>
      <c r="H686" s="127" t="s">
        <v>3633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1739</v>
      </c>
      <c r="AA686" s="79"/>
    </row>
    <row r="687" spans="1:27">
      <c r="A687" s="96" t="s">
        <v>3632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3624</v>
      </c>
      <c r="H687" s="127" t="s">
        <v>3630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1739</v>
      </c>
      <c r="AA687" s="79"/>
    </row>
    <row r="688" spans="1:27">
      <c r="A688" s="96" t="s">
        <v>3631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3624</v>
      </c>
      <c r="H688" s="127" t="s">
        <v>3630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1739</v>
      </c>
      <c r="AA688" s="79"/>
    </row>
    <row r="689" spans="1:27">
      <c r="A689" s="96" t="s">
        <v>3629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3624</v>
      </c>
      <c r="H689" s="127" t="s">
        <v>349</v>
      </c>
      <c r="I689" s="127" t="s">
        <v>3627</v>
      </c>
      <c r="J689" s="127" t="s">
        <v>2261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1739</v>
      </c>
      <c r="AA689" s="79"/>
    </row>
    <row r="690" spans="1:27">
      <c r="A690" s="96" t="s">
        <v>3628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3624</v>
      </c>
      <c r="H690" s="127" t="s">
        <v>349</v>
      </c>
      <c r="I690" s="127" t="s">
        <v>3627</v>
      </c>
      <c r="J690" s="127" t="s">
        <v>959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1739</v>
      </c>
      <c r="AA690" s="79"/>
    </row>
    <row r="691" spans="1:27">
      <c r="A691" s="88" t="s">
        <v>3626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3624</v>
      </c>
      <c r="H691" s="127" t="s">
        <v>360</v>
      </c>
      <c r="I691" s="127" t="s">
        <v>414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1739</v>
      </c>
      <c r="AA691" s="79"/>
    </row>
    <row r="692" spans="1:27">
      <c r="A692" s="140" t="s">
        <v>3625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3624</v>
      </c>
      <c r="H692" s="127" t="s">
        <v>2453</v>
      </c>
      <c r="I692" s="127" t="s">
        <v>3025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1739</v>
      </c>
      <c r="AA692" s="79"/>
    </row>
    <row r="693" spans="1:27">
      <c r="A693" s="88" t="s">
        <v>3623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760</v>
      </c>
      <c r="H693" s="127" t="s">
        <v>2700</v>
      </c>
      <c r="I693" s="127" t="s">
        <v>3078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1739</v>
      </c>
      <c r="AA693" s="79"/>
    </row>
    <row r="694" spans="1:27">
      <c r="A694" s="135" t="s">
        <v>3622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3617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1739</v>
      </c>
      <c r="AA694" s="79"/>
    </row>
    <row r="695" spans="1:27">
      <c r="A695" s="135" t="s">
        <v>3621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3617</v>
      </c>
      <c r="H695" s="127" t="s">
        <v>3620</v>
      </c>
      <c r="I695" s="127" t="s">
        <v>3619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1739</v>
      </c>
      <c r="AA695" s="79"/>
    </row>
    <row r="696" spans="1:27">
      <c r="A696" s="135" t="s">
        <v>3618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3617</v>
      </c>
      <c r="H696" s="127" t="s">
        <v>1914</v>
      </c>
      <c r="I696" s="127" t="s">
        <v>2719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1739</v>
      </c>
      <c r="AA696" s="79"/>
    </row>
    <row r="697" spans="1:27">
      <c r="A697" s="149" t="s">
        <v>3616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3615</v>
      </c>
      <c r="H697" s="127" t="s">
        <v>432</v>
      </c>
      <c r="I697" s="127" t="s">
        <v>3614</v>
      </c>
      <c r="J697" s="127" t="s">
        <v>3538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1739</v>
      </c>
      <c r="AA697" s="79"/>
    </row>
    <row r="698" spans="1:27">
      <c r="A698" s="96" t="s">
        <v>3572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3572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379</v>
      </c>
      <c r="AA698" s="79"/>
    </row>
    <row r="699" spans="1:27">
      <c r="A699" s="169" t="s">
        <v>3613</v>
      </c>
      <c r="B699" s="83" t="str">
        <f t="shared" si="163"/>
        <v>SANNENDO_TESURYO_RT</v>
      </c>
      <c r="C699" s="87" t="s">
        <v>2465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3610</v>
      </c>
      <c r="H699" s="127" t="s">
        <v>3612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1739</v>
      </c>
      <c r="AA699" s="79"/>
    </row>
    <row r="700" spans="1:27">
      <c r="A700" s="169" t="s">
        <v>3611</v>
      </c>
      <c r="B700" s="83" t="str">
        <f t="shared" si="163"/>
        <v>SANNENDO_TAISEN_LMTCST</v>
      </c>
      <c r="C700" s="87" t="s">
        <v>753</v>
      </c>
      <c r="D700" s="82" t="str">
        <f t="shared" si="176"/>
        <v>Number</v>
      </c>
      <c r="E700" s="82">
        <f t="shared" si="177"/>
        <v>11</v>
      </c>
      <c r="F700" s="82" t="str">
        <f t="shared" si="178"/>
        <v/>
      </c>
      <c r="G700" s="128" t="s">
        <v>3610</v>
      </c>
      <c r="H700" s="127" t="s">
        <v>2459</v>
      </c>
      <c r="I700" s="127" t="s">
        <v>2458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1739</v>
      </c>
      <c r="AA700" s="79"/>
    </row>
    <row r="701" spans="1:27">
      <c r="A701" s="96" t="s">
        <v>3609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3608</v>
      </c>
      <c r="H701" s="127" t="s">
        <v>894</v>
      </c>
      <c r="I701" s="127" t="s">
        <v>183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1739</v>
      </c>
      <c r="AA701" s="79"/>
    </row>
    <row r="702" spans="1:27">
      <c r="A702" s="96" t="s">
        <v>3607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3607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1739</v>
      </c>
      <c r="AA702" s="79"/>
    </row>
    <row r="703" spans="1:27">
      <c r="A703" s="145" t="s">
        <v>3606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1119</v>
      </c>
      <c r="H703" s="127" t="s">
        <v>3605</v>
      </c>
      <c r="I703" s="127" t="s">
        <v>183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1739</v>
      </c>
      <c r="AA703" s="79"/>
    </row>
    <row r="704" spans="1:27">
      <c r="A704" s="141" t="s">
        <v>3604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1119</v>
      </c>
      <c r="H704" s="127" t="s">
        <v>1118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1739</v>
      </c>
      <c r="AA704" s="79"/>
    </row>
    <row r="705" spans="1:27">
      <c r="A705" s="96" t="s">
        <v>3603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665</v>
      </c>
      <c r="H705" s="127" t="s">
        <v>2669</v>
      </c>
      <c r="I705" s="127" t="s">
        <v>1849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1739</v>
      </c>
      <c r="AA705" s="79"/>
    </row>
    <row r="706" spans="1:27">
      <c r="A706" s="96" t="s">
        <v>3602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665</v>
      </c>
      <c r="H706" s="127" t="s">
        <v>3314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1739</v>
      </c>
      <c r="AA706" s="79"/>
    </row>
    <row r="707" spans="1:27">
      <c r="A707" s="96" t="s">
        <v>3601</v>
      </c>
      <c r="B707" s="83" t="str">
        <f t="shared" si="179"/>
        <v>CHILD_UMU_FLG</v>
      </c>
      <c r="C707" s="87" t="s">
        <v>1728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665</v>
      </c>
      <c r="H707" s="127" t="s">
        <v>341</v>
      </c>
      <c r="I707" s="127" t="s">
        <v>465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1739</v>
      </c>
      <c r="AA707" s="79"/>
    </row>
    <row r="708" spans="1:27">
      <c r="A708" s="96" t="s">
        <v>3600</v>
      </c>
      <c r="B708" s="83" t="str">
        <f t="shared" si="179"/>
        <v>CHILD_PLAN_UMU_FLG</v>
      </c>
      <c r="C708" s="87" t="s">
        <v>1728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665</v>
      </c>
      <c r="H708" s="127" t="s">
        <v>2274</v>
      </c>
      <c r="I708" s="127" t="s">
        <v>341</v>
      </c>
      <c r="J708" s="127" t="s">
        <v>465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1739</v>
      </c>
      <c r="AA708" s="79"/>
    </row>
    <row r="709" spans="1:27">
      <c r="A709" s="142" t="s">
        <v>3599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3589</v>
      </c>
      <c r="H709" s="127" t="s">
        <v>3598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1739</v>
      </c>
      <c r="AA709" s="79"/>
    </row>
    <row r="710" spans="1:27">
      <c r="A710" s="135" t="s">
        <v>3597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3589</v>
      </c>
      <c r="H710" s="127" t="s">
        <v>3588</v>
      </c>
      <c r="I710" s="127" t="s">
        <v>1123</v>
      </c>
      <c r="J710" s="127" t="s">
        <v>2341</v>
      </c>
      <c r="K710" s="127" t="s">
        <v>1733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1739</v>
      </c>
      <c r="AA710" s="79"/>
    </row>
    <row r="711" spans="1:27">
      <c r="A711" s="135" t="s">
        <v>3596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3589</v>
      </c>
      <c r="H711" s="127" t="s">
        <v>3588</v>
      </c>
      <c r="I711" s="127" t="s">
        <v>2106</v>
      </c>
      <c r="J711" s="127" t="s">
        <v>1733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1739</v>
      </c>
      <c r="AA711" s="79"/>
    </row>
    <row r="712" spans="1:27">
      <c r="A712" s="135" t="s">
        <v>3595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3589</v>
      </c>
      <c r="H712" s="127" t="s">
        <v>3588</v>
      </c>
      <c r="I712" s="127" t="s">
        <v>2106</v>
      </c>
      <c r="J712" s="127" t="s">
        <v>177</v>
      </c>
      <c r="K712" s="127" t="s">
        <v>3594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1739</v>
      </c>
      <c r="AA712" s="79"/>
    </row>
    <row r="713" spans="1:27">
      <c r="A713" s="135" t="s">
        <v>3593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3589</v>
      </c>
      <c r="H713" s="127" t="s">
        <v>3588</v>
      </c>
      <c r="I713" s="127" t="s">
        <v>2334</v>
      </c>
      <c r="J713" s="127" t="s">
        <v>2303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1739</v>
      </c>
      <c r="AA713" s="79"/>
    </row>
    <row r="714" spans="1:27">
      <c r="A714" s="135" t="s">
        <v>3592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3589</v>
      </c>
      <c r="H714" s="127" t="s">
        <v>3588</v>
      </c>
      <c r="I714" s="127" t="s">
        <v>2334</v>
      </c>
      <c r="J714" s="127" t="s">
        <v>3300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1739</v>
      </c>
      <c r="AA714" s="79"/>
    </row>
    <row r="715" spans="1:27">
      <c r="A715" s="135" t="s">
        <v>3591</v>
      </c>
      <c r="B715" s="83" t="str">
        <f t="shared" si="179"/>
        <v>SHITEIDAIRI_SEIKYUNIN_ZOKUGARA</v>
      </c>
      <c r="C715" s="87" t="s">
        <v>2170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3589</v>
      </c>
      <c r="H715" s="127" t="s">
        <v>3588</v>
      </c>
      <c r="I715" s="127" t="s">
        <v>893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1739</v>
      </c>
      <c r="AA715" s="79"/>
    </row>
    <row r="716" spans="1:27">
      <c r="A716" s="135" t="s">
        <v>3590</v>
      </c>
      <c r="B716" s="83" t="str">
        <f t="shared" si="179"/>
        <v>SHITEIDAIRI_SEIKYUNIN_ZOKUGARA_CD</v>
      </c>
      <c r="C716" s="87" t="s">
        <v>2332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3589</v>
      </c>
      <c r="H716" s="127" t="s">
        <v>3588</v>
      </c>
      <c r="I716" s="127" t="s">
        <v>893</v>
      </c>
      <c r="J716" s="127" t="s">
        <v>1737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1739</v>
      </c>
      <c r="AA716" s="79"/>
    </row>
    <row r="717" spans="1:27">
      <c r="A717" s="96" t="s">
        <v>3587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2360</v>
      </c>
      <c r="H717" s="127" t="s">
        <v>444</v>
      </c>
      <c r="I717" s="127" t="s">
        <v>183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1739</v>
      </c>
      <c r="AA717" s="79"/>
    </row>
    <row r="718" spans="1:27">
      <c r="A718" s="96" t="s">
        <v>3586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2360</v>
      </c>
      <c r="H718" s="127" t="s">
        <v>2236</v>
      </c>
      <c r="I718" s="127" t="s">
        <v>341</v>
      </c>
      <c r="J718" s="127" t="s">
        <v>183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1739</v>
      </c>
      <c r="AA718" s="79"/>
    </row>
    <row r="719" spans="1:27">
      <c r="A719" s="163" t="s">
        <v>3585</v>
      </c>
      <c r="B719" s="83" t="str">
        <f t="shared" si="179"/>
        <v>SHIKYU_KEISU</v>
      </c>
      <c r="C719" s="87" t="s">
        <v>2916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3584</v>
      </c>
      <c r="H719" s="127" t="s">
        <v>2916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1739</v>
      </c>
      <c r="AA719" s="79"/>
    </row>
    <row r="720" spans="1:27">
      <c r="A720" s="96" t="s">
        <v>3583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392</v>
      </c>
      <c r="H720" s="127" t="s">
        <v>3582</v>
      </c>
      <c r="I720" s="127" t="s">
        <v>3581</v>
      </c>
      <c r="J720" s="127" t="s">
        <v>3580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1739</v>
      </c>
      <c r="AA720" s="79"/>
    </row>
    <row r="721" spans="1:27">
      <c r="A721" s="142" t="s">
        <v>3579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392</v>
      </c>
      <c r="H721" s="127" t="s">
        <v>391</v>
      </c>
      <c r="I721" s="127" t="s">
        <v>3578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1739</v>
      </c>
      <c r="AA721" s="79"/>
    </row>
    <row r="722" spans="1:27">
      <c r="A722" s="135" t="s">
        <v>3577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392</v>
      </c>
      <c r="H722" s="127" t="s">
        <v>2722</v>
      </c>
      <c r="I722" s="127" t="s">
        <v>341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1739</v>
      </c>
      <c r="AA722" s="79"/>
    </row>
    <row r="723" spans="1:27">
      <c r="A723" s="88" t="s">
        <v>3576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432</v>
      </c>
      <c r="H723" s="127" t="s">
        <v>3575</v>
      </c>
      <c r="I723" s="127" t="s">
        <v>3574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1739</v>
      </c>
      <c r="AA723" s="79"/>
    </row>
    <row r="724" spans="1:27">
      <c r="A724" s="88" t="s">
        <v>3573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432</v>
      </c>
      <c r="H724" s="127" t="s">
        <v>3572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1739</v>
      </c>
      <c r="AA724" s="79"/>
    </row>
    <row r="725" spans="1:27">
      <c r="A725" s="88" t="s">
        <v>3571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3093</v>
      </c>
      <c r="H725" s="127" t="s">
        <v>2329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1739</v>
      </c>
      <c r="AA725" s="79"/>
    </row>
    <row r="726" spans="1:27">
      <c r="A726" s="96" t="s">
        <v>3570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3093</v>
      </c>
      <c r="H726" s="127" t="s">
        <v>3569</v>
      </c>
      <c r="I726" s="127" t="s">
        <v>1314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1739</v>
      </c>
      <c r="AA726" s="79"/>
    </row>
    <row r="727" spans="1:27">
      <c r="A727" s="88" t="s">
        <v>3568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432</v>
      </c>
      <c r="H727" s="127" t="s">
        <v>3281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1739</v>
      </c>
      <c r="AA727" s="79"/>
    </row>
    <row r="728" spans="1:27">
      <c r="A728" s="88" t="s">
        <v>3567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432</v>
      </c>
      <c r="H728" s="127" t="s">
        <v>3207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1739</v>
      </c>
      <c r="AA728" s="79"/>
    </row>
    <row r="729" spans="1:27">
      <c r="A729" s="88" t="s">
        <v>3566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432</v>
      </c>
      <c r="H729" s="127" t="s">
        <v>3175</v>
      </c>
      <c r="I729" s="127" t="s">
        <v>1314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1739</v>
      </c>
      <c r="AA729" s="79"/>
    </row>
    <row r="730" spans="1:27">
      <c r="A730" s="88" t="s">
        <v>3565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432</v>
      </c>
      <c r="H730" s="127" t="s">
        <v>2918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1739</v>
      </c>
      <c r="AA730" s="79"/>
    </row>
    <row r="731" spans="1:27">
      <c r="A731" s="88" t="s">
        <v>3564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432</v>
      </c>
      <c r="H731" s="127" t="s">
        <v>2905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1739</v>
      </c>
      <c r="AA731" s="79"/>
    </row>
    <row r="732" spans="1:27">
      <c r="A732" s="88" t="s">
        <v>3563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432</v>
      </c>
      <c r="H732" s="127" t="s">
        <v>1914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1739</v>
      </c>
      <c r="AA732" s="79"/>
    </row>
    <row r="733" spans="1:27">
      <c r="A733" s="135" t="s">
        <v>3562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3545</v>
      </c>
      <c r="H733" s="127" t="s">
        <v>2335</v>
      </c>
      <c r="I733" s="127" t="s">
        <v>3544</v>
      </c>
      <c r="J733" s="127">
        <v>2</v>
      </c>
      <c r="K733" s="127" t="s">
        <v>1888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1739</v>
      </c>
      <c r="AA733" s="79"/>
    </row>
    <row r="734" spans="1:27">
      <c r="A734" s="135" t="s">
        <v>3561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3545</v>
      </c>
      <c r="H734" s="127" t="s">
        <v>2335</v>
      </c>
      <c r="I734" s="127" t="s">
        <v>3544</v>
      </c>
      <c r="J734" s="127" t="s">
        <v>3555</v>
      </c>
      <c r="K734" s="127" t="s">
        <v>2596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1739</v>
      </c>
      <c r="AA734" s="79"/>
    </row>
    <row r="735" spans="1:27">
      <c r="A735" s="135" t="s">
        <v>3560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3545</v>
      </c>
      <c r="H735" s="127" t="s">
        <v>2335</v>
      </c>
      <c r="I735" s="127" t="s">
        <v>3544</v>
      </c>
      <c r="J735" s="127" t="s">
        <v>3555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1739</v>
      </c>
      <c r="AA735" s="79"/>
    </row>
    <row r="736" spans="1:27">
      <c r="A736" s="135" t="s">
        <v>3559</v>
      </c>
      <c r="B736" s="83" t="str">
        <f t="shared" si="179"/>
        <v>SHIBO_S_PAYEE_ZOKUGARA_CD_2</v>
      </c>
      <c r="C736" s="87" t="s">
        <v>2332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3545</v>
      </c>
      <c r="H736" s="127" t="s">
        <v>2335</v>
      </c>
      <c r="I736" s="127" t="s">
        <v>3544</v>
      </c>
      <c r="J736" s="127" t="s">
        <v>893</v>
      </c>
      <c r="K736" s="127" t="s">
        <v>1737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1739</v>
      </c>
      <c r="AA736" s="79"/>
    </row>
    <row r="737" spans="1:27">
      <c r="A737" s="135" t="s">
        <v>3558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3545</v>
      </c>
      <c r="H737" s="127" t="s">
        <v>2335</v>
      </c>
      <c r="I737" s="127" t="s">
        <v>3544</v>
      </c>
      <c r="J737" s="127">
        <v>3</v>
      </c>
      <c r="K737" s="127" t="s">
        <v>1888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1739</v>
      </c>
      <c r="AA737" s="79"/>
    </row>
    <row r="738" spans="1:27">
      <c r="A738" s="135" t="s">
        <v>3557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3545</v>
      </c>
      <c r="H738" s="127" t="s">
        <v>2335</v>
      </c>
      <c r="I738" s="127" t="s">
        <v>3544</v>
      </c>
      <c r="J738" s="127" t="s">
        <v>3555</v>
      </c>
      <c r="K738" s="127" t="s">
        <v>2596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1739</v>
      </c>
      <c r="AA738" s="79"/>
    </row>
    <row r="739" spans="1:27">
      <c r="A739" s="135" t="s">
        <v>3556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3545</v>
      </c>
      <c r="H739" s="127" t="s">
        <v>2335</v>
      </c>
      <c r="I739" s="127" t="s">
        <v>3544</v>
      </c>
      <c r="J739" s="127" t="s">
        <v>3555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1739</v>
      </c>
      <c r="AA739" s="79"/>
    </row>
    <row r="740" spans="1:27">
      <c r="A740" s="135" t="s">
        <v>3554</v>
      </c>
      <c r="B740" s="83" t="str">
        <f t="shared" si="179"/>
        <v>SHIBO_S_PAYEE_ZOKUGARA_CD_3</v>
      </c>
      <c r="C740" s="87" t="s">
        <v>2332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3545</v>
      </c>
      <c r="H740" s="127" t="s">
        <v>2335</v>
      </c>
      <c r="I740" s="127" t="s">
        <v>3544</v>
      </c>
      <c r="J740" s="127" t="s">
        <v>893</v>
      </c>
      <c r="K740" s="127" t="s">
        <v>1737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1739</v>
      </c>
      <c r="AA740" s="79"/>
    </row>
    <row r="741" spans="1:27">
      <c r="A741" s="135" t="s">
        <v>3553</v>
      </c>
      <c r="B741" s="83" t="str">
        <f t="shared" si="179"/>
        <v>SHIBO_S_PAYEE_RT</v>
      </c>
      <c r="C741" s="87" t="s">
        <v>3451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3545</v>
      </c>
      <c r="H741" s="127" t="s">
        <v>2335</v>
      </c>
      <c r="I741" s="127" t="s">
        <v>3544</v>
      </c>
      <c r="J741" s="127" t="s">
        <v>1888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1739</v>
      </c>
      <c r="AA741" s="79"/>
    </row>
    <row r="742" spans="1:27">
      <c r="A742" s="135" t="s">
        <v>3552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3545</v>
      </c>
      <c r="H742" s="127" t="s">
        <v>2335</v>
      </c>
      <c r="I742" s="127" t="s">
        <v>3544</v>
      </c>
      <c r="J742" s="127" t="s">
        <v>1123</v>
      </c>
      <c r="K742" s="127" t="s">
        <v>2328</v>
      </c>
      <c r="L742" s="132" t="s">
        <v>177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1739</v>
      </c>
      <c r="AA742" s="79"/>
    </row>
    <row r="743" spans="1:27">
      <c r="A743" s="135" t="s">
        <v>3551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3545</v>
      </c>
      <c r="H743" s="127" t="s">
        <v>2335</v>
      </c>
      <c r="I743" s="127" t="s">
        <v>3544</v>
      </c>
      <c r="J743" s="127" t="s">
        <v>2339</v>
      </c>
      <c r="K743" s="127" t="s">
        <v>177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365</v>
      </c>
      <c r="AA743" s="79"/>
    </row>
    <row r="744" spans="1:27">
      <c r="A744" s="135" t="s">
        <v>3550</v>
      </c>
      <c r="B744" s="83" t="str">
        <f t="shared" si="179"/>
        <v>PAYEE_NAME_KANA</v>
      </c>
      <c r="C744" s="87" t="s">
        <v>2336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1508</v>
      </c>
      <c r="H744" s="127" t="s">
        <v>559</v>
      </c>
      <c r="I744" s="127" t="s">
        <v>2596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365</v>
      </c>
      <c r="AA744" s="79"/>
    </row>
    <row r="745" spans="1:27">
      <c r="A745" s="135" t="s">
        <v>3549</v>
      </c>
      <c r="B745" s="83" t="str">
        <f t="shared" si="179"/>
        <v>PAYEE_NAME</v>
      </c>
      <c r="C745" s="87" t="s">
        <v>559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1508</v>
      </c>
      <c r="H745" s="127" t="s">
        <v>559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1739</v>
      </c>
      <c r="AA745" s="79"/>
    </row>
    <row r="746" spans="1:27">
      <c r="A746" s="135" t="s">
        <v>3548</v>
      </c>
      <c r="B746" s="83" t="str">
        <f t="shared" si="179"/>
        <v>PAYEE_ZOKUGARA_CD</v>
      </c>
      <c r="C746" s="87" t="s">
        <v>2332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1508</v>
      </c>
      <c r="H746" s="127" t="s">
        <v>2169</v>
      </c>
      <c r="I746" s="127" t="s">
        <v>1737</v>
      </c>
      <c r="J746" s="127"/>
      <c r="K746" s="127"/>
      <c r="L746" s="132" t="s">
        <v>3547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1739</v>
      </c>
      <c r="AA746" s="79"/>
    </row>
    <row r="747" spans="1:27">
      <c r="A747" s="135" t="s">
        <v>3546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3545</v>
      </c>
      <c r="H747" s="127" t="s">
        <v>2335</v>
      </c>
      <c r="I747" s="127" t="s">
        <v>3544</v>
      </c>
      <c r="J747" s="127" t="s">
        <v>3543</v>
      </c>
      <c r="K747" s="127" t="s">
        <v>3542</v>
      </c>
      <c r="L747" s="132" t="s">
        <v>3541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1739</v>
      </c>
      <c r="AA747" s="79"/>
    </row>
    <row r="748" spans="1:27">
      <c r="A748" s="88" t="s">
        <v>3540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432</v>
      </c>
      <c r="H748" s="127" t="s">
        <v>815</v>
      </c>
      <c r="I748" s="127" t="s">
        <v>1025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1739</v>
      </c>
      <c r="AA748" s="79"/>
    </row>
    <row r="749" spans="1:27">
      <c r="A749" s="149" t="s">
        <v>3539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432</v>
      </c>
      <c r="H749" s="127" t="s">
        <v>3538</v>
      </c>
      <c r="I749" s="127" t="s">
        <v>3091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1739</v>
      </c>
      <c r="AA749" s="79"/>
    </row>
    <row r="750" spans="1:27">
      <c r="A750" s="88" t="s">
        <v>3537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432</v>
      </c>
      <c r="H750" s="127" t="s">
        <v>2476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1739</v>
      </c>
      <c r="AA750" s="79"/>
    </row>
    <row r="751" spans="1:27">
      <c r="A751" s="88" t="s">
        <v>3536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432</v>
      </c>
      <c r="H751" s="127" t="s">
        <v>2472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1739</v>
      </c>
      <c r="AA751" s="79"/>
    </row>
    <row r="752" spans="1:27">
      <c r="A752" s="139" t="s">
        <v>3535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1014</v>
      </c>
      <c r="H752" s="127" t="s">
        <v>3534</v>
      </c>
      <c r="I752" s="127" t="s">
        <v>955</v>
      </c>
      <c r="J752" s="127" t="s">
        <v>341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1739</v>
      </c>
      <c r="AA752" s="79"/>
    </row>
    <row r="753" spans="1:27">
      <c r="A753" s="141" t="s">
        <v>1948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3533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1549</v>
      </c>
      <c r="AA753" s="79"/>
    </row>
    <row r="754" spans="1:27">
      <c r="A754" s="141" t="s">
        <v>3532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3530</v>
      </c>
      <c r="H754" s="127" t="s">
        <v>414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1549</v>
      </c>
      <c r="AA754" s="79"/>
    </row>
    <row r="755" spans="1:27">
      <c r="A755" s="141" t="s">
        <v>3531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3530</v>
      </c>
      <c r="H755" s="127" t="s">
        <v>2694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1739</v>
      </c>
      <c r="AA755" s="79"/>
    </row>
    <row r="756" spans="1:27">
      <c r="A756" s="145" t="s">
        <v>3529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3521</v>
      </c>
      <c r="H756" s="127" t="s">
        <v>3520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1739</v>
      </c>
      <c r="AA756" s="79"/>
    </row>
    <row r="757" spans="1:27">
      <c r="A757" s="96" t="s">
        <v>3528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3528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1739</v>
      </c>
      <c r="AA757" s="79"/>
    </row>
    <row r="758" spans="1:27">
      <c r="A758" s="133" t="s">
        <v>3527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3527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1739</v>
      </c>
      <c r="AA758" s="79"/>
    </row>
    <row r="759" spans="1:27">
      <c r="A759" s="145" t="s">
        <v>3526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3518</v>
      </c>
      <c r="H759" s="127" t="s">
        <v>3525</v>
      </c>
      <c r="I759" s="127" t="s">
        <v>215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1739</v>
      </c>
      <c r="AA759" s="79"/>
    </row>
    <row r="760" spans="1:27">
      <c r="A760" s="145" t="s">
        <v>3524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3518</v>
      </c>
      <c r="H760" s="127" t="s">
        <v>2274</v>
      </c>
      <c r="I760" s="127" t="s">
        <v>3523</v>
      </c>
      <c r="J760" s="127" t="s">
        <v>375</v>
      </c>
      <c r="K760" s="127" t="s">
        <v>183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1739</v>
      </c>
      <c r="AA760" s="79"/>
    </row>
    <row r="761" spans="1:27">
      <c r="A761" s="145" t="s">
        <v>3522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3518</v>
      </c>
      <c r="H761" s="127" t="s">
        <v>2274</v>
      </c>
      <c r="I761" s="127" t="s">
        <v>3521</v>
      </c>
      <c r="J761" s="127" t="s">
        <v>3520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1739</v>
      </c>
      <c r="AA761" s="79"/>
    </row>
    <row r="762" spans="1:27">
      <c r="A762" s="145" t="s">
        <v>3519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3518</v>
      </c>
      <c r="H762" s="127" t="s">
        <v>2274</v>
      </c>
      <c r="I762" s="127" t="s">
        <v>2578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1739</v>
      </c>
      <c r="AA762" s="79"/>
    </row>
    <row r="763" spans="1:27">
      <c r="A763" s="135" t="s">
        <v>3517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3516</v>
      </c>
      <c r="H763" s="127" t="s">
        <v>3515</v>
      </c>
      <c r="I763" s="127" t="s">
        <v>3514</v>
      </c>
      <c r="J763" s="127" t="s">
        <v>298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1739</v>
      </c>
      <c r="AA763" s="79"/>
    </row>
    <row r="764" spans="1:27">
      <c r="A764" s="88" t="s">
        <v>3513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917</v>
      </c>
      <c r="H764" s="127" t="s">
        <v>294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1739</v>
      </c>
      <c r="AA764" s="79"/>
    </row>
    <row r="765" spans="1:27">
      <c r="A765" s="159" t="s">
        <v>3512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3509</v>
      </c>
      <c r="H765" s="127" t="s">
        <v>1336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1739</v>
      </c>
      <c r="AA765" s="79"/>
    </row>
    <row r="766" spans="1:27">
      <c r="A766" s="149" t="s">
        <v>3511</v>
      </c>
      <c r="B766" s="83" t="str">
        <f t="shared" si="179"/>
        <v>SHIPPEI_NYUIN_KYUFUKIN_NICHIGAKU</v>
      </c>
      <c r="C766" s="87" t="s">
        <v>753</v>
      </c>
      <c r="D766" s="82" t="str">
        <f t="shared" si="192"/>
        <v>Number</v>
      </c>
      <c r="E766" s="82">
        <f t="shared" si="193"/>
        <v>11</v>
      </c>
      <c r="F766" s="82" t="str">
        <f t="shared" si="194"/>
        <v/>
      </c>
      <c r="G766" s="128" t="s">
        <v>3509</v>
      </c>
      <c r="H766" s="127" t="s">
        <v>2533</v>
      </c>
      <c r="I766" s="127" t="s">
        <v>850</v>
      </c>
      <c r="J766" s="127" t="s">
        <v>2532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1739</v>
      </c>
      <c r="AA766" s="79"/>
    </row>
    <row r="767" spans="1:27">
      <c r="A767" s="159" t="s">
        <v>3510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3509</v>
      </c>
      <c r="H767" s="127" t="s">
        <v>3508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1487</v>
      </c>
      <c r="AA767" s="79"/>
    </row>
    <row r="768" spans="1:27">
      <c r="A768" s="138" t="s">
        <v>3507</v>
      </c>
      <c r="B768" s="83" t="str">
        <f t="shared" si="179"/>
        <v>SHICHIKEN_SETTEI_DATE</v>
      </c>
      <c r="C768" s="87" t="s">
        <v>1483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3504</v>
      </c>
      <c r="H768" s="127" t="s">
        <v>3506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1739</v>
      </c>
      <c r="AA768" s="79"/>
    </row>
    <row r="769" spans="1:27">
      <c r="A769" s="138" t="s">
        <v>3505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3504</v>
      </c>
      <c r="H769" s="127" t="s">
        <v>2693</v>
      </c>
      <c r="I769" s="127" t="s">
        <v>2042</v>
      </c>
      <c r="J769" s="127" t="s">
        <v>1733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1739</v>
      </c>
      <c r="AA769" s="79"/>
    </row>
    <row r="770" spans="1:27">
      <c r="A770" s="96" t="s">
        <v>3503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3499</v>
      </c>
      <c r="H770" s="127" t="s">
        <v>2411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1739</v>
      </c>
      <c r="AA770" s="79"/>
    </row>
    <row r="771" spans="1:27">
      <c r="A771" s="96" t="s">
        <v>3502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3499</v>
      </c>
      <c r="H771" s="127" t="s">
        <v>2411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1739</v>
      </c>
      <c r="AA771" s="79"/>
    </row>
    <row r="772" spans="1:27">
      <c r="A772" s="96" t="s">
        <v>3501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3499</v>
      </c>
      <c r="H772" s="127" t="s">
        <v>2411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1739</v>
      </c>
      <c r="AA772" s="79"/>
    </row>
    <row r="773" spans="1:27">
      <c r="A773" s="96" t="s">
        <v>3500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3499</v>
      </c>
      <c r="H773" s="127" t="s">
        <v>2411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1739</v>
      </c>
      <c r="AA773" s="79"/>
    </row>
    <row r="774" spans="1:27">
      <c r="A774" s="167" t="s">
        <v>2440</v>
      </c>
      <c r="B774" s="83" t="str">
        <f t="shared" si="195"/>
        <v>JIKKOUZEI_RT</v>
      </c>
      <c r="C774" s="87" t="s">
        <v>2441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3498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1739</v>
      </c>
      <c r="AA774" s="79"/>
    </row>
    <row r="775" spans="1:27">
      <c r="A775" s="96" t="s">
        <v>3497</v>
      </c>
      <c r="B775" s="83" t="str">
        <f t="shared" si="195"/>
        <v>JITSUZAI_FLG</v>
      </c>
      <c r="C775" s="87" t="s">
        <v>1728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2659</v>
      </c>
      <c r="H775" s="127" t="s">
        <v>465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1487</v>
      </c>
      <c r="AA775" s="79"/>
    </row>
    <row r="776" spans="1:27">
      <c r="A776" s="96" t="s">
        <v>3496</v>
      </c>
      <c r="B776" s="83" t="str">
        <f t="shared" si="195"/>
        <v>JISSHI_DATE</v>
      </c>
      <c r="C776" s="87" t="s">
        <v>1483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3495</v>
      </c>
      <c r="H776" s="127" t="s">
        <v>2256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182</v>
      </c>
      <c r="AA776" s="79"/>
    </row>
    <row r="777" spans="1:27">
      <c r="A777" s="137" t="s">
        <v>3494</v>
      </c>
      <c r="B777" s="83" t="str">
        <f t="shared" si="195"/>
        <v>STAFF_LV</v>
      </c>
      <c r="C777" s="87" t="s">
        <v>180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883</v>
      </c>
      <c r="H777" s="127" t="s">
        <v>3493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1739</v>
      </c>
      <c r="AA777" s="79"/>
    </row>
    <row r="778" spans="1:27">
      <c r="A778" s="138" t="s">
        <v>3492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3026</v>
      </c>
      <c r="H778" s="127" t="s">
        <v>3491</v>
      </c>
      <c r="I778" s="127" t="s">
        <v>3490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1739</v>
      </c>
      <c r="AA778" s="79"/>
    </row>
    <row r="779" spans="1:27">
      <c r="A779" s="96" t="s">
        <v>3489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3488</v>
      </c>
      <c r="H779" s="127" t="s">
        <v>341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1739</v>
      </c>
      <c r="AA779" s="79"/>
    </row>
    <row r="780" spans="1:27">
      <c r="A780" s="96" t="s">
        <v>3487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3312</v>
      </c>
      <c r="H780" s="127" t="s">
        <v>864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1739</v>
      </c>
      <c r="AA780" s="79"/>
    </row>
    <row r="781" spans="1:27">
      <c r="A781" s="96" t="s">
        <v>3486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3312</v>
      </c>
      <c r="H781" s="127" t="s">
        <v>414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1739</v>
      </c>
      <c r="AA781" s="79"/>
    </row>
    <row r="782" spans="1:27">
      <c r="A782" s="96" t="s">
        <v>3485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3484</v>
      </c>
      <c r="H782" s="127"/>
      <c r="I782" s="127" t="s">
        <v>348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3483</v>
      </c>
      <c r="AA782" s="79"/>
    </row>
    <row r="783" spans="1:27">
      <c r="A783" s="96" t="s">
        <v>3482</v>
      </c>
      <c r="B783" s="83" t="str">
        <f t="shared" si="195"/>
        <v>KARIREKIN_UMU_FLG_FLG</v>
      </c>
      <c r="C783" s="87" t="s">
        <v>3481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3480</v>
      </c>
      <c r="H783" s="127" t="s">
        <v>1606</v>
      </c>
      <c r="I783" s="127" t="s">
        <v>1728</v>
      </c>
      <c r="J783" s="127" t="s">
        <v>465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1739</v>
      </c>
      <c r="AA783" s="79"/>
    </row>
    <row r="784" spans="1:27">
      <c r="A784" s="96" t="s">
        <v>3479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3312</v>
      </c>
      <c r="H784" s="127" t="s">
        <v>2261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1739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9" t="s">
        <v>753</v>
      </c>
      <c r="D785" s="82" t="str">
        <f t="shared" si="192"/>
        <v>Number</v>
      </c>
      <c r="E785" s="82">
        <f t="shared" si="193"/>
        <v>11</v>
      </c>
      <c r="F785" s="82" t="str">
        <f t="shared" si="194"/>
        <v/>
      </c>
      <c r="G785" s="128" t="s">
        <v>3312</v>
      </c>
      <c r="H785" s="127" t="s">
        <v>434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1487</v>
      </c>
      <c r="AA785" s="267" t="s">
        <v>6506</v>
      </c>
    </row>
    <row r="786" spans="1:27">
      <c r="A786" s="96" t="s">
        <v>3478</v>
      </c>
      <c r="B786" s="83" t="str">
        <f t="shared" si="195"/>
        <v>KARIRE_DATE</v>
      </c>
      <c r="C786" s="87" t="s">
        <v>1483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3312</v>
      </c>
      <c r="H786" s="127" t="s">
        <v>2256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1739</v>
      </c>
      <c r="AA786" s="79"/>
    </row>
    <row r="787" spans="1:27">
      <c r="A787" s="96" t="s">
        <v>3477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3312</v>
      </c>
      <c r="H787" s="127" t="s">
        <v>2256</v>
      </c>
      <c r="I787" s="127" t="s">
        <v>2259</v>
      </c>
      <c r="J787" s="127" t="s">
        <v>183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1739</v>
      </c>
      <c r="AA787" s="79"/>
    </row>
    <row r="788" spans="1:27">
      <c r="A788" s="96" t="s">
        <v>3476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3312</v>
      </c>
      <c r="H788" s="127" t="s">
        <v>959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1739</v>
      </c>
      <c r="AA788" s="79"/>
    </row>
    <row r="789" spans="1:27">
      <c r="A789" s="96" t="s">
        <v>3475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3312</v>
      </c>
      <c r="H789" s="127" t="s">
        <v>3408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1739</v>
      </c>
      <c r="AA789" s="79"/>
    </row>
    <row r="790" spans="1:27">
      <c r="A790" s="135" t="s">
        <v>3474</v>
      </c>
      <c r="B790" s="83" t="str">
        <f t="shared" si="195"/>
        <v>B_PLCY_KI_PLCY_FLG</v>
      </c>
      <c r="C790" s="87" t="s">
        <v>1728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765</v>
      </c>
      <c r="H790" s="127" t="s">
        <v>257</v>
      </c>
      <c r="I790" s="127" t="s">
        <v>465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1739</v>
      </c>
      <c r="AA790" s="79"/>
    </row>
    <row r="791" spans="1:27">
      <c r="A791" s="143" t="s">
        <v>3473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765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1739</v>
      </c>
      <c r="AA791" s="79"/>
    </row>
    <row r="792" spans="1:27">
      <c r="A792" s="88" t="s">
        <v>3472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765</v>
      </c>
      <c r="H792" s="127" t="s">
        <v>831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1739</v>
      </c>
      <c r="AA792" s="79"/>
    </row>
    <row r="793" spans="1:27">
      <c r="A793" s="143" t="s">
        <v>3471</v>
      </c>
      <c r="B793" s="83" t="str">
        <f t="shared" si="195"/>
        <v>B_PLCY_SHOHIN_CD</v>
      </c>
      <c r="C793" s="87" t="s">
        <v>2798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765</v>
      </c>
      <c r="H793" s="127" t="s">
        <v>733</v>
      </c>
      <c r="I793" s="127" t="s">
        <v>183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1739</v>
      </c>
      <c r="AA793" s="79"/>
    </row>
    <row r="794" spans="1:27">
      <c r="A794" s="157" t="s">
        <v>3470</v>
      </c>
      <c r="B794" s="83" t="str">
        <f t="shared" si="195"/>
        <v>B_PLCY_HARAIKOMI_KIKAN</v>
      </c>
      <c r="C794" s="87" t="s">
        <v>1814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765</v>
      </c>
      <c r="H794" s="127" t="s">
        <v>349</v>
      </c>
      <c r="I794" s="127" t="s">
        <v>864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182</v>
      </c>
      <c r="AA794" s="79"/>
    </row>
    <row r="795" spans="1:27">
      <c r="A795" s="157" t="s">
        <v>3469</v>
      </c>
      <c r="B795" s="83" t="str">
        <f t="shared" si="195"/>
        <v>B_PLCY_HARAIKOMI_NENSAI_CD</v>
      </c>
      <c r="C795" s="87" t="s">
        <v>180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765</v>
      </c>
      <c r="H795" s="127" t="s">
        <v>2541</v>
      </c>
      <c r="I795" s="127" t="s">
        <v>1434</v>
      </c>
      <c r="J795" s="127" t="s">
        <v>1737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1739</v>
      </c>
      <c r="AA795" s="79"/>
    </row>
    <row r="796" spans="1:27">
      <c r="A796" s="143" t="s">
        <v>3468</v>
      </c>
      <c r="B796" s="83" t="str">
        <f t="shared" si="195"/>
        <v>B_PLCY_HOKEN_KIKAN</v>
      </c>
      <c r="C796" s="87" t="s">
        <v>1814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765</v>
      </c>
      <c r="H796" s="127" t="s">
        <v>360</v>
      </c>
      <c r="I796" s="127" t="s">
        <v>864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182</v>
      </c>
      <c r="AA796" s="79"/>
    </row>
    <row r="797" spans="1:27">
      <c r="A797" s="143" t="s">
        <v>3467</v>
      </c>
      <c r="B797" s="83" t="str">
        <f t="shared" si="195"/>
        <v>B_PLCY_HOKEN_NENSAI_CD</v>
      </c>
      <c r="C797" s="87" t="s">
        <v>180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765</v>
      </c>
      <c r="H797" s="127" t="s">
        <v>2497</v>
      </c>
      <c r="I797" s="127" t="s">
        <v>1434</v>
      </c>
      <c r="J797" s="127" t="s">
        <v>1737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1739</v>
      </c>
      <c r="AA797" s="79"/>
    </row>
    <row r="798" spans="1:27">
      <c r="A798" s="135" t="s">
        <v>3466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765</v>
      </c>
      <c r="H798" s="127" t="s">
        <v>190</v>
      </c>
      <c r="I798" s="127" t="s">
        <v>3465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1739</v>
      </c>
      <c r="AA798" s="79"/>
    </row>
    <row r="799" spans="1:27">
      <c r="A799" s="135" t="s">
        <v>3464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765</v>
      </c>
      <c r="H799" s="127" t="s">
        <v>190</v>
      </c>
      <c r="I799" s="127" t="s">
        <v>3463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1739</v>
      </c>
      <c r="AA799" s="79"/>
    </row>
    <row r="800" spans="1:27">
      <c r="A800" s="135" t="s">
        <v>3462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765</v>
      </c>
      <c r="H800" s="127" t="s">
        <v>190</v>
      </c>
      <c r="I800" s="127" t="s">
        <v>3461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1739</v>
      </c>
      <c r="AA800" s="79"/>
    </row>
    <row r="801" spans="1:27">
      <c r="A801" s="135" t="s">
        <v>3460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765</v>
      </c>
      <c r="H801" s="127" t="s">
        <v>190</v>
      </c>
      <c r="I801" s="127" t="s">
        <v>1914</v>
      </c>
      <c r="J801" s="127" t="s">
        <v>850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1739</v>
      </c>
      <c r="AA801" s="79"/>
    </row>
    <row r="802" spans="1:27">
      <c r="A802" s="96" t="s">
        <v>3459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765</v>
      </c>
      <c r="H802" s="127" t="s">
        <v>391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1739</v>
      </c>
      <c r="AA802" s="79"/>
    </row>
    <row r="803" spans="1:27">
      <c r="A803" s="145" t="s">
        <v>3458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765</v>
      </c>
      <c r="H803" s="127" t="s">
        <v>391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1739</v>
      </c>
      <c r="AA803" s="79"/>
    </row>
    <row r="804" spans="1:27">
      <c r="A804" s="157" t="s">
        <v>3457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765</v>
      </c>
      <c r="H804" s="127" t="s">
        <v>391</v>
      </c>
      <c r="I804" s="127" t="s">
        <v>2513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1739</v>
      </c>
      <c r="AA804" s="79"/>
    </row>
    <row r="805" spans="1:27">
      <c r="A805" s="143" t="s">
        <v>3456</v>
      </c>
      <c r="B805" s="83" t="str">
        <f t="shared" si="195"/>
        <v>B_PLCY_HOSHO_CD</v>
      </c>
      <c r="C805" s="87" t="s">
        <v>1441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2063</v>
      </c>
      <c r="H805" s="127" t="s">
        <v>815</v>
      </c>
      <c r="I805" s="127" t="s">
        <v>183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1739</v>
      </c>
      <c r="AA805" s="79"/>
    </row>
    <row r="806" spans="1:27">
      <c r="A806" s="143" t="s">
        <v>3455</v>
      </c>
      <c r="B806" s="83" t="str">
        <f t="shared" si="195"/>
        <v>AGENT_CD</v>
      </c>
      <c r="C806" s="87" t="s">
        <v>3454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1891</v>
      </c>
      <c r="H806" s="127" t="s">
        <v>183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1739</v>
      </c>
      <c r="AA806" s="79"/>
    </row>
    <row r="807" spans="1:27">
      <c r="A807" s="135" t="s">
        <v>3453</v>
      </c>
      <c r="B807" s="83" t="str">
        <f t="shared" si="195"/>
        <v>AGENT_RT_1</v>
      </c>
      <c r="C807" s="87" t="s">
        <v>3451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1752</v>
      </c>
      <c r="H807" s="127" t="s">
        <v>1888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1739</v>
      </c>
      <c r="AA807" s="79"/>
    </row>
    <row r="808" spans="1:27">
      <c r="A808" s="135" t="s">
        <v>3452</v>
      </c>
      <c r="B808" s="83" t="str">
        <f t="shared" si="195"/>
        <v>AGENT_RT_2</v>
      </c>
      <c r="C808" s="87" t="s">
        <v>3451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1752</v>
      </c>
      <c r="H808" s="127" t="s">
        <v>1888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1739</v>
      </c>
      <c r="AA808" s="79"/>
    </row>
    <row r="809" spans="1:27">
      <c r="A809" s="135" t="s">
        <v>3450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3443</v>
      </c>
      <c r="H809" s="127" t="s">
        <v>703</v>
      </c>
      <c r="I809" s="127" t="s">
        <v>702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1739</v>
      </c>
      <c r="AA809" s="79"/>
    </row>
    <row r="810" spans="1:27">
      <c r="A810" s="135" t="s">
        <v>3449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3443</v>
      </c>
      <c r="H810" s="127" t="s">
        <v>1886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1739</v>
      </c>
      <c r="AA810" s="79"/>
    </row>
    <row r="811" spans="1:27">
      <c r="A811" s="135" t="s">
        <v>3448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3443</v>
      </c>
      <c r="H811" s="127" t="s">
        <v>1881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1739</v>
      </c>
      <c r="AA811" s="79"/>
    </row>
    <row r="812" spans="1:27">
      <c r="A812" s="135" t="s">
        <v>3447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3443</v>
      </c>
      <c r="H812" s="127" t="s">
        <v>3445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1739</v>
      </c>
      <c r="AA812" s="79"/>
    </row>
    <row r="813" spans="1:27">
      <c r="A813" s="135" t="s">
        <v>3446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3443</v>
      </c>
      <c r="H813" s="127" t="s">
        <v>3445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1739</v>
      </c>
      <c r="AA813" s="79"/>
    </row>
    <row r="814" spans="1:27">
      <c r="A814" s="135" t="s">
        <v>3444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3443</v>
      </c>
      <c r="H814" s="127" t="s">
        <v>1884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1487</v>
      </c>
      <c r="AA814" s="79"/>
    </row>
    <row r="815" spans="1:27">
      <c r="A815" s="135" t="s">
        <v>3442</v>
      </c>
      <c r="B815" s="83" t="str">
        <f t="shared" si="195"/>
        <v>TORIHO_OUTPUT_DATE</v>
      </c>
      <c r="C815" s="87" t="s">
        <v>1483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3442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1739</v>
      </c>
      <c r="AA815" s="79"/>
    </row>
    <row r="816" spans="1:27">
      <c r="A816" s="96" t="s">
        <v>3441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3441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1739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1739</v>
      </c>
      <c r="AA817" s="79"/>
    </row>
    <row r="818" spans="1:27">
      <c r="A818" s="96" t="s">
        <v>3440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1227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1739</v>
      </c>
      <c r="AA818" s="79"/>
    </row>
    <row r="819" spans="1:27">
      <c r="A819" s="96" t="s">
        <v>3439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3438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1739</v>
      </c>
      <c r="AA819" s="79"/>
    </row>
    <row r="820" spans="1:27">
      <c r="A820" s="96" t="s">
        <v>3437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3432</v>
      </c>
      <c r="H820" s="127" t="s">
        <v>437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1739</v>
      </c>
      <c r="AA820" s="79"/>
    </row>
    <row r="821" spans="1:27">
      <c r="A821" s="96" t="s">
        <v>3436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3432</v>
      </c>
      <c r="H821" s="127" t="s">
        <v>437</v>
      </c>
      <c r="I821" s="127" t="s">
        <v>1227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1739</v>
      </c>
      <c r="AA821" s="79"/>
    </row>
    <row r="822" spans="1:27">
      <c r="A822" s="149" t="s">
        <v>3435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3432</v>
      </c>
      <c r="H822" s="127" t="s">
        <v>1914</v>
      </c>
      <c r="I822" s="127" t="s">
        <v>3434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1739</v>
      </c>
      <c r="AA822" s="79"/>
    </row>
    <row r="823" spans="1:27">
      <c r="A823" s="149" t="s">
        <v>3433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3432</v>
      </c>
      <c r="H823" s="127" t="s">
        <v>1914</v>
      </c>
      <c r="I823" s="127" t="s">
        <v>3091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1739</v>
      </c>
      <c r="AA823" s="79"/>
    </row>
    <row r="824" spans="1:27">
      <c r="A824" s="96" t="s">
        <v>3431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3430</v>
      </c>
      <c r="H824" s="127" t="s">
        <v>177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1739</v>
      </c>
      <c r="AA824" s="79"/>
    </row>
    <row r="825" spans="1:27">
      <c r="A825" s="96" t="s">
        <v>3429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3429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1739</v>
      </c>
      <c r="AA825" s="79"/>
    </row>
    <row r="826" spans="1:27">
      <c r="A826" s="96" t="s">
        <v>3428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3428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1739</v>
      </c>
      <c r="AA826" s="79"/>
    </row>
    <row r="827" spans="1:27">
      <c r="A827" s="148" t="s">
        <v>3427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954</v>
      </c>
      <c r="H827" s="127" t="s">
        <v>1914</v>
      </c>
      <c r="I827" s="127" t="s">
        <v>2719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1739</v>
      </c>
      <c r="AA827" s="79"/>
    </row>
    <row r="828" spans="1:27">
      <c r="A828" s="142" t="s">
        <v>3426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954</v>
      </c>
      <c r="H828" s="127" t="s">
        <v>360</v>
      </c>
      <c r="I828" s="127" t="s">
        <v>659</v>
      </c>
      <c r="J828" s="127" t="s">
        <v>2491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1739</v>
      </c>
      <c r="AA828" s="79"/>
    </row>
    <row r="829" spans="1:27">
      <c r="A829" s="96" t="s">
        <v>3425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2207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1739</v>
      </c>
      <c r="AA829" s="79"/>
    </row>
    <row r="830" spans="1:27">
      <c r="A830" s="96" t="s">
        <v>3424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2207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1739</v>
      </c>
      <c r="AA830" s="79"/>
    </row>
    <row r="831" spans="1:27">
      <c r="A831" s="96" t="s">
        <v>3423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2207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1739</v>
      </c>
      <c r="AA831" s="79"/>
    </row>
    <row r="832" spans="1:27">
      <c r="A832" s="96" t="s">
        <v>3422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2207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1739</v>
      </c>
      <c r="AA832" s="79"/>
    </row>
    <row r="833" spans="1:27">
      <c r="A833" s="96" t="s">
        <v>3421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2207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1739</v>
      </c>
      <c r="AA833" s="79"/>
    </row>
    <row r="834" spans="1:27">
      <c r="A834" s="96" t="s">
        <v>3420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2207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1739</v>
      </c>
      <c r="AA834" s="79"/>
    </row>
    <row r="835" spans="1:27">
      <c r="A835" s="96" t="s">
        <v>3419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3402</v>
      </c>
      <c r="H835" s="127" t="s">
        <v>831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1739</v>
      </c>
      <c r="AA835" s="79"/>
    </row>
    <row r="836" spans="1:27">
      <c r="A836" s="96" t="s">
        <v>3418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3402</v>
      </c>
      <c r="H836" s="127" t="s">
        <v>177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1739</v>
      </c>
      <c r="AA836" s="79"/>
    </row>
    <row r="837" spans="1:27">
      <c r="A837" s="96" t="s">
        <v>3417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668</v>
      </c>
      <c r="H837" s="127" t="s">
        <v>2379</v>
      </c>
      <c r="I837" s="127" t="s">
        <v>2213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1739</v>
      </c>
      <c r="AA837" s="79"/>
    </row>
    <row r="838" spans="1:27">
      <c r="A838" s="96" t="s">
        <v>3416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668</v>
      </c>
      <c r="H838" s="127" t="s">
        <v>2379</v>
      </c>
      <c r="I838" s="127" t="s">
        <v>2213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1739</v>
      </c>
      <c r="AA838" s="79"/>
    </row>
    <row r="839" spans="1:27">
      <c r="A839" s="96" t="s">
        <v>3415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668</v>
      </c>
      <c r="H839" s="127" t="s">
        <v>2379</v>
      </c>
      <c r="I839" s="127" t="s">
        <v>2213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1739</v>
      </c>
      <c r="AA839" s="79"/>
    </row>
    <row r="840" spans="1:27">
      <c r="A840" s="96" t="s">
        <v>3414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668</v>
      </c>
      <c r="H840" s="127" t="s">
        <v>2379</v>
      </c>
      <c r="I840" s="127" t="s">
        <v>864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1739</v>
      </c>
      <c r="AA840" s="79"/>
    </row>
    <row r="841" spans="1:27">
      <c r="A841" s="96" t="s">
        <v>3413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668</v>
      </c>
      <c r="H841" s="127" t="s">
        <v>2379</v>
      </c>
      <c r="I841" s="127" t="s">
        <v>864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1739</v>
      </c>
      <c r="AA841" s="79"/>
    </row>
    <row r="842" spans="1:27">
      <c r="A842" s="96" t="s">
        <v>3412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668</v>
      </c>
      <c r="H842" s="127" t="s">
        <v>2379</v>
      </c>
      <c r="I842" s="127" t="s">
        <v>864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1739</v>
      </c>
      <c r="AA842" s="79"/>
    </row>
    <row r="843" spans="1:27">
      <c r="A843" s="96" t="s">
        <v>3411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668</v>
      </c>
      <c r="H843" s="127" t="s">
        <v>2379</v>
      </c>
      <c r="I843" s="127" t="s">
        <v>3408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1739</v>
      </c>
      <c r="AA843" s="79"/>
    </row>
    <row r="844" spans="1:27">
      <c r="A844" s="96" t="s">
        <v>3410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668</v>
      </c>
      <c r="H844" s="127" t="s">
        <v>2379</v>
      </c>
      <c r="I844" s="127" t="s">
        <v>3408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1739</v>
      </c>
      <c r="AA844" s="79"/>
    </row>
    <row r="845" spans="1:27">
      <c r="A845" s="96" t="s">
        <v>3409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668</v>
      </c>
      <c r="H845" s="127" t="s">
        <v>2379</v>
      </c>
      <c r="I845" s="127" t="s">
        <v>3408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1739</v>
      </c>
      <c r="AA845" s="79"/>
    </row>
    <row r="846" spans="1:27">
      <c r="A846" s="96" t="s">
        <v>3407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668</v>
      </c>
      <c r="H846" s="127" t="s">
        <v>2365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1739</v>
      </c>
      <c r="AA846" s="79"/>
    </row>
    <row r="847" spans="1:27">
      <c r="A847" s="96" t="s">
        <v>3406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668</v>
      </c>
      <c r="H847" s="127" t="s">
        <v>177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1739</v>
      </c>
      <c r="AA847" s="79"/>
    </row>
    <row r="848" spans="1:27">
      <c r="A848" s="96" t="s">
        <v>3405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668</v>
      </c>
      <c r="H848" s="127" t="s">
        <v>2372</v>
      </c>
      <c r="I848" s="127" t="s">
        <v>2379</v>
      </c>
      <c r="J848" s="127" t="s">
        <v>2213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1739</v>
      </c>
      <c r="AA848" s="79"/>
    </row>
    <row r="849" spans="1:27">
      <c r="A849" s="96" t="s">
        <v>3404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668</v>
      </c>
      <c r="H849" s="127" t="s">
        <v>2372</v>
      </c>
      <c r="I849" s="127" t="s">
        <v>2379</v>
      </c>
      <c r="J849" s="127" t="s">
        <v>864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1739</v>
      </c>
      <c r="AA849" s="79"/>
    </row>
    <row r="850" spans="1:27">
      <c r="A850" s="96" t="s">
        <v>3403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668</v>
      </c>
      <c r="H850" s="127" t="s">
        <v>2372</v>
      </c>
      <c r="I850" s="127" t="s">
        <v>3402</v>
      </c>
      <c r="J850" s="127" t="s">
        <v>183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1739</v>
      </c>
      <c r="AA850" s="79"/>
    </row>
    <row r="851" spans="1:27">
      <c r="A851" s="96" t="s">
        <v>3401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668</v>
      </c>
      <c r="H851" s="127" t="s">
        <v>2372</v>
      </c>
      <c r="I851" s="127" t="s">
        <v>2704</v>
      </c>
      <c r="J851" s="127" t="s">
        <v>2371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1739</v>
      </c>
      <c r="AA851" s="79"/>
    </row>
    <row r="852" spans="1:27">
      <c r="A852" s="96" t="s">
        <v>3400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668</v>
      </c>
      <c r="H852" s="127" t="s">
        <v>667</v>
      </c>
      <c r="I852" s="127" t="s">
        <v>3399</v>
      </c>
      <c r="J852" s="127" t="s">
        <v>2794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1739</v>
      </c>
      <c r="AA852" s="79"/>
    </row>
    <row r="853" spans="1:27">
      <c r="A853" s="96" t="s">
        <v>3398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668</v>
      </c>
      <c r="H853" s="127" t="s">
        <v>2352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1739</v>
      </c>
      <c r="AA853" s="79"/>
    </row>
    <row r="854" spans="1:27">
      <c r="A854" s="96" t="s">
        <v>3397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668</v>
      </c>
      <c r="H854" s="127" t="s">
        <v>3396</v>
      </c>
      <c r="I854" s="127" t="s">
        <v>183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1739</v>
      </c>
      <c r="AA854" s="79"/>
    </row>
    <row r="855" spans="1:27">
      <c r="A855" s="96" t="s">
        <v>3395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668</v>
      </c>
      <c r="H855" s="127" t="s">
        <v>3394</v>
      </c>
      <c r="I855" s="127" t="s">
        <v>183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1739</v>
      </c>
      <c r="AA855" s="79"/>
    </row>
    <row r="856" spans="1:27">
      <c r="A856" s="96" t="s">
        <v>3393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668</v>
      </c>
      <c r="H856" s="127" t="s">
        <v>872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1739</v>
      </c>
      <c r="AA856" s="79"/>
    </row>
    <row r="857" spans="1:27">
      <c r="A857" s="96" t="s">
        <v>3392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668</v>
      </c>
      <c r="H857" s="127" t="s">
        <v>872</v>
      </c>
      <c r="I857" s="127" t="s">
        <v>1888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1739</v>
      </c>
      <c r="AA857" s="79"/>
    </row>
    <row r="858" spans="1:27">
      <c r="A858" s="96" t="s">
        <v>3391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668</v>
      </c>
      <c r="H858" s="127" t="s">
        <v>3390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1739</v>
      </c>
      <c r="AA858" s="79"/>
    </row>
    <row r="859" spans="1:27">
      <c r="A859" s="96" t="s">
        <v>3389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668</v>
      </c>
      <c r="H859" s="127" t="s">
        <v>3388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1739</v>
      </c>
      <c r="AA859" s="79"/>
    </row>
    <row r="860" spans="1:27">
      <c r="A860" s="96" t="s">
        <v>3387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668</v>
      </c>
      <c r="H860" s="127" t="s">
        <v>3386</v>
      </c>
      <c r="I860" s="127" t="s">
        <v>183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1739</v>
      </c>
      <c r="AA860" s="79"/>
    </row>
    <row r="861" spans="1:27">
      <c r="A861" s="96" t="s">
        <v>3385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668</v>
      </c>
      <c r="H861" s="127" t="s">
        <v>2274</v>
      </c>
      <c r="I861" s="127" t="s">
        <v>183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1739</v>
      </c>
      <c r="AA861" s="79"/>
    </row>
    <row r="862" spans="1:27">
      <c r="A862" s="96" t="s">
        <v>3384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668</v>
      </c>
      <c r="H862" s="127" t="s">
        <v>2274</v>
      </c>
      <c r="I862" s="127" t="s">
        <v>959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1739</v>
      </c>
      <c r="AA862" s="79"/>
    </row>
    <row r="863" spans="1:27">
      <c r="A863" s="96" t="s">
        <v>3383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274</v>
      </c>
      <c r="H863" s="127" t="s">
        <v>3382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1739</v>
      </c>
      <c r="AA863" s="79"/>
    </row>
    <row r="864" spans="1:27">
      <c r="A864" s="96" t="s">
        <v>3381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274</v>
      </c>
      <c r="H864" s="127" t="s">
        <v>1944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1739</v>
      </c>
      <c r="AA864" s="79"/>
    </row>
    <row r="865" spans="1:27">
      <c r="A865" s="140" t="s">
        <v>3380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274</v>
      </c>
      <c r="H865" s="127" t="s">
        <v>3379</v>
      </c>
      <c r="I865" s="127" t="s">
        <v>2452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1739</v>
      </c>
      <c r="AA865" s="79"/>
    </row>
    <row r="866" spans="1:27">
      <c r="A866" s="142" t="s">
        <v>3378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3377</v>
      </c>
      <c r="H866" s="127" t="s">
        <v>3376</v>
      </c>
      <c r="I866" s="127" t="s">
        <v>2614</v>
      </c>
      <c r="J866" s="127" t="s">
        <v>298</v>
      </c>
      <c r="K866" s="127" t="s">
        <v>3375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1739</v>
      </c>
      <c r="AA866" s="79"/>
    </row>
    <row r="867" spans="1:27">
      <c r="A867" s="96" t="s">
        <v>3374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3373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1739</v>
      </c>
      <c r="AA867" s="79"/>
    </row>
    <row r="868" spans="1:27">
      <c r="A868" s="96" t="s">
        <v>3372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3371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1739</v>
      </c>
      <c r="AA868" s="79"/>
    </row>
    <row r="869" spans="1:27">
      <c r="A869" s="96" t="s">
        <v>3370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3366</v>
      </c>
      <c r="H869" s="127" t="s">
        <v>3368</v>
      </c>
      <c r="I869" s="127" t="s">
        <v>207</v>
      </c>
      <c r="J869" s="127" t="s">
        <v>444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1739</v>
      </c>
      <c r="AA869" s="79"/>
    </row>
    <row r="870" spans="1:27">
      <c r="A870" s="96" t="s">
        <v>3369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3366</v>
      </c>
      <c r="H870" s="127" t="s">
        <v>3368</v>
      </c>
      <c r="I870" s="127" t="s">
        <v>444</v>
      </c>
      <c r="J870" s="127" t="s">
        <v>183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1739</v>
      </c>
      <c r="AA870" s="79"/>
    </row>
    <row r="871" spans="1:27">
      <c r="A871" s="159" t="s">
        <v>3367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3366</v>
      </c>
      <c r="H871" s="127" t="s">
        <v>3175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1487</v>
      </c>
      <c r="AA871" s="79"/>
    </row>
    <row r="872" spans="1:27">
      <c r="A872" s="135" t="s">
        <v>3365</v>
      </c>
      <c r="B872" s="83" t="str">
        <f t="shared" si="211"/>
        <v>SHORI_FOR_HANTEI_HOST_DATE</v>
      </c>
      <c r="C872" s="87" t="s">
        <v>1483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2482</v>
      </c>
      <c r="H872" s="127" t="s">
        <v>3363</v>
      </c>
      <c r="I872" s="127" t="s">
        <v>854</v>
      </c>
      <c r="J872" s="127" t="s">
        <v>3361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1487</v>
      </c>
      <c r="AA872" s="79"/>
    </row>
    <row r="873" spans="1:27">
      <c r="A873" s="135" t="s">
        <v>3364</v>
      </c>
      <c r="B873" s="83" t="str">
        <f t="shared" si="211"/>
        <v>SHORI_FOR_HANTEI_LOCAL_DATE</v>
      </c>
      <c r="C873" s="87" t="s">
        <v>1483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2482</v>
      </c>
      <c r="H873" s="127" t="s">
        <v>3363</v>
      </c>
      <c r="I873" s="127" t="s">
        <v>3362</v>
      </c>
      <c r="J873" s="127" t="s">
        <v>3361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1739</v>
      </c>
      <c r="AA873" s="79"/>
    </row>
    <row r="874" spans="1:27">
      <c r="A874" s="96" t="s">
        <v>3360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3356</v>
      </c>
      <c r="H874" s="127" t="s">
        <v>3359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1739</v>
      </c>
      <c r="AA874" s="79"/>
    </row>
    <row r="875" spans="1:27">
      <c r="A875" s="135" t="s">
        <v>3358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3356</v>
      </c>
      <c r="H875" s="127" t="s">
        <v>3355</v>
      </c>
      <c r="I875" s="127" t="s">
        <v>1314</v>
      </c>
      <c r="J875" s="127" t="s">
        <v>834</v>
      </c>
      <c r="K875" s="127" t="s">
        <v>2794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1739</v>
      </c>
      <c r="AA875" s="79"/>
    </row>
    <row r="876" spans="1:27">
      <c r="A876" s="96" t="s">
        <v>3357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3356</v>
      </c>
      <c r="H876" s="127" t="s">
        <v>3355</v>
      </c>
      <c r="I876" s="127" t="s">
        <v>834</v>
      </c>
      <c r="J876" s="127" t="s">
        <v>2794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1739</v>
      </c>
      <c r="AA876" s="79"/>
    </row>
    <row r="877" spans="1:27">
      <c r="A877" s="135" t="s">
        <v>3354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3354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1739</v>
      </c>
      <c r="AA877" s="79"/>
    </row>
    <row r="878" spans="1:27">
      <c r="A878" s="96" t="s">
        <v>3353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1267</v>
      </c>
      <c r="H878" s="127" t="s">
        <v>2455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1739</v>
      </c>
      <c r="AA878" s="79"/>
    </row>
    <row r="879" spans="1:27">
      <c r="A879" s="96" t="s">
        <v>3352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3351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1739</v>
      </c>
      <c r="AA879" s="79"/>
    </row>
    <row r="880" spans="1:27">
      <c r="A880" s="96" t="s">
        <v>3350</v>
      </c>
      <c r="B880" s="83" t="str">
        <f t="shared" si="211"/>
        <v>SALES_OFFICE_ADDR_1</v>
      </c>
      <c r="C880" s="87" t="s">
        <v>2160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3346</v>
      </c>
      <c r="H880" s="127" t="s">
        <v>1844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1739</v>
      </c>
      <c r="AA880" s="79"/>
    </row>
    <row r="881" spans="1:27">
      <c r="A881" s="96" t="s">
        <v>3349</v>
      </c>
      <c r="B881" s="83" t="str">
        <f t="shared" si="211"/>
        <v>SALES_OFFICE_ADDR_2</v>
      </c>
      <c r="C881" s="87" t="s">
        <v>2158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3346</v>
      </c>
      <c r="H881" s="127" t="s">
        <v>1844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1739</v>
      </c>
      <c r="AA881" s="79"/>
    </row>
    <row r="882" spans="1:27">
      <c r="A882" s="96" t="s">
        <v>3348</v>
      </c>
      <c r="B882" s="83" t="str">
        <f t="shared" si="211"/>
        <v>SALES_OFFICE_TEL_NO_1</v>
      </c>
      <c r="C882" s="87" t="s">
        <v>1676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3346</v>
      </c>
      <c r="H882" s="127" t="s">
        <v>2151</v>
      </c>
      <c r="I882" s="127" t="s">
        <v>1849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1739</v>
      </c>
      <c r="AA882" s="79"/>
    </row>
    <row r="883" spans="1:27">
      <c r="A883" s="96" t="s">
        <v>3347</v>
      </c>
      <c r="B883" s="83" t="str">
        <f t="shared" si="211"/>
        <v>SALES_OFFICE_TEL_NO_2</v>
      </c>
      <c r="C883" s="87" t="s">
        <v>1674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3346</v>
      </c>
      <c r="H883" s="127" t="s">
        <v>2151</v>
      </c>
      <c r="I883" s="127" t="s">
        <v>1849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1549</v>
      </c>
      <c r="AA883" s="79"/>
    </row>
    <row r="884" spans="1:27">
      <c r="A884" s="96" t="s">
        <v>3345</v>
      </c>
      <c r="B884" s="83" t="str">
        <f t="shared" si="211"/>
        <v>SALES_OFFICE_TEL_NO_3</v>
      </c>
      <c r="C884" s="87" t="s">
        <v>1672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3339</v>
      </c>
      <c r="H884" s="127" t="s">
        <v>3344</v>
      </c>
      <c r="I884" s="127" t="s">
        <v>1849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1549</v>
      </c>
      <c r="AA884" s="79"/>
    </row>
    <row r="885" spans="1:27">
      <c r="A885" s="96" t="s">
        <v>3343</v>
      </c>
      <c r="B885" s="83" t="str">
        <f t="shared" si="211"/>
        <v>SALES_OFFICE_ZIP_CD_1</v>
      </c>
      <c r="C885" s="87" t="s">
        <v>3342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3339</v>
      </c>
      <c r="H885" s="127" t="s">
        <v>2430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1549</v>
      </c>
      <c r="AA885" s="79"/>
    </row>
    <row r="886" spans="1:27">
      <c r="A886" s="96" t="s">
        <v>3341</v>
      </c>
      <c r="B886" s="83" t="str">
        <f t="shared" si="211"/>
        <v>SALES_OFFICE_ZIP_CD_2</v>
      </c>
      <c r="C886" s="87" t="s">
        <v>3340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3339</v>
      </c>
      <c r="H886" s="127" t="s">
        <v>2430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1739</v>
      </c>
      <c r="AA886" s="79"/>
    </row>
    <row r="887" spans="1:27">
      <c r="A887" s="96" t="s">
        <v>3338</v>
      </c>
      <c r="B887" s="83" t="str">
        <f t="shared" si="211"/>
        <v>SHOHIN_NAME</v>
      </c>
      <c r="C887" s="87" t="s">
        <v>1422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3337</v>
      </c>
      <c r="H887" s="127" t="s">
        <v>2139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1739</v>
      </c>
      <c r="AA887" s="79"/>
    </row>
    <row r="888" spans="1:27">
      <c r="A888" s="96" t="s">
        <v>3336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2957</v>
      </c>
      <c r="H888" s="127" t="s">
        <v>831</v>
      </c>
      <c r="I888" s="127" t="s">
        <v>183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1739</v>
      </c>
      <c r="AA888" s="79"/>
    </row>
    <row r="889" spans="1:27">
      <c r="A889" s="96" t="s">
        <v>3335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2957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1739</v>
      </c>
      <c r="AA889" s="79"/>
    </row>
    <row r="890" spans="1:27">
      <c r="A890" s="96" t="s">
        <v>3334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3333</v>
      </c>
      <c r="H890" s="127" t="s">
        <v>2268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1739</v>
      </c>
      <c r="AA890" s="79"/>
    </row>
    <row r="891" spans="1:27">
      <c r="A891" s="96" t="s">
        <v>3332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3331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1739</v>
      </c>
      <c r="AA891" s="79"/>
    </row>
    <row r="892" spans="1:27">
      <c r="A892" s="96" t="s">
        <v>3330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3327</v>
      </c>
      <c r="H892" s="127" t="s">
        <v>3329</v>
      </c>
      <c r="I892" s="127" t="s">
        <v>2319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1739</v>
      </c>
      <c r="AA892" s="79"/>
    </row>
    <row r="893" spans="1:27">
      <c r="A893" s="96" t="s">
        <v>3328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3327</v>
      </c>
      <c r="H893" s="127" t="s">
        <v>3326</v>
      </c>
      <c r="I893" s="127" t="s">
        <v>2319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1739</v>
      </c>
      <c r="AA893" s="79"/>
    </row>
    <row r="894" spans="1:27">
      <c r="A894" s="96" t="s">
        <v>3325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3319</v>
      </c>
      <c r="H894" s="127" t="s">
        <v>177</v>
      </c>
      <c r="I894" s="127" t="s">
        <v>3324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1739</v>
      </c>
      <c r="AA894" s="79"/>
    </row>
    <row r="895" spans="1:27">
      <c r="A895" s="96" t="s">
        <v>3323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3319</v>
      </c>
      <c r="H895" s="127" t="s">
        <v>177</v>
      </c>
      <c r="I895" s="127" t="s">
        <v>3322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1739</v>
      </c>
      <c r="AA895" s="79"/>
    </row>
    <row r="896" spans="1:27">
      <c r="A896" s="141" t="s">
        <v>3321</v>
      </c>
      <c r="B896" s="83" t="str">
        <f t="shared" si="211"/>
        <v>SHOKAI_NO</v>
      </c>
      <c r="C896" s="87" t="s">
        <v>3320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3319</v>
      </c>
      <c r="H896" s="127" t="s">
        <v>1890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1739</v>
      </c>
      <c r="AA896" s="79"/>
    </row>
    <row r="897" spans="1:27">
      <c r="A897" s="145" t="s">
        <v>3318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253</v>
      </c>
      <c r="H897" s="127" t="s">
        <v>183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1739</v>
      </c>
      <c r="AA897" s="79"/>
    </row>
    <row r="898" spans="1:27">
      <c r="A898" s="96" t="s">
        <v>3317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253</v>
      </c>
      <c r="H898" s="127" t="s">
        <v>3316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1739</v>
      </c>
      <c r="AA898" s="79"/>
    </row>
    <row r="899" spans="1:27">
      <c r="A899" s="145" t="s">
        <v>3315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253</v>
      </c>
      <c r="H899" s="127" t="s">
        <v>3314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1739</v>
      </c>
      <c r="AA899" s="79"/>
    </row>
    <row r="900" spans="1:27">
      <c r="A900" s="145" t="s">
        <v>3313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1850</v>
      </c>
      <c r="H900" s="127" t="s">
        <v>3312</v>
      </c>
      <c r="I900" s="127" t="s">
        <v>3311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1739</v>
      </c>
      <c r="AA900" s="79"/>
    </row>
    <row r="901" spans="1:27">
      <c r="A901" s="135" t="s">
        <v>3310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3297</v>
      </c>
      <c r="H901" s="127" t="s">
        <v>1844</v>
      </c>
      <c r="I901" s="127" t="s">
        <v>2303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1739</v>
      </c>
      <c r="AA901" s="79"/>
    </row>
    <row r="902" spans="1:27">
      <c r="A902" s="135" t="s">
        <v>3309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3297</v>
      </c>
      <c r="H902" s="127" t="s">
        <v>1844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1739</v>
      </c>
      <c r="AA902" s="79"/>
    </row>
    <row r="903" spans="1:27">
      <c r="A903" s="135" t="s">
        <v>3308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3297</v>
      </c>
      <c r="H903" s="127" t="s">
        <v>3306</v>
      </c>
      <c r="I903" s="127" t="s">
        <v>3305</v>
      </c>
      <c r="J903" s="127" t="s">
        <v>2303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1739</v>
      </c>
      <c r="AA903" s="79"/>
    </row>
    <row r="904" spans="1:27">
      <c r="A904" s="135" t="s">
        <v>3307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3297</v>
      </c>
      <c r="H904" s="127" t="s">
        <v>3306</v>
      </c>
      <c r="I904" s="127" t="s">
        <v>3305</v>
      </c>
      <c r="J904" s="127" t="s">
        <v>3300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1739</v>
      </c>
      <c r="AA904" s="79"/>
    </row>
    <row r="905" spans="1:27">
      <c r="A905" s="135" t="s">
        <v>3304</v>
      </c>
      <c r="B905" s="83" t="str">
        <f t="shared" si="227"/>
        <v>SHOKENSOFUSAKI_TEL_NO</v>
      </c>
      <c r="C905" s="87" t="s">
        <v>2447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3297</v>
      </c>
      <c r="H905" s="127" t="s">
        <v>2446</v>
      </c>
      <c r="I905" s="127" t="s">
        <v>1849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1739</v>
      </c>
      <c r="AA905" s="79"/>
    </row>
    <row r="906" spans="1:27">
      <c r="A906" s="135" t="s">
        <v>3303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3297</v>
      </c>
      <c r="H906" s="127" t="s">
        <v>3301</v>
      </c>
      <c r="I906" s="127" t="s">
        <v>2303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1739</v>
      </c>
      <c r="AA906" s="79"/>
    </row>
    <row r="907" spans="1:27">
      <c r="A907" s="135" t="s">
        <v>3302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3297</v>
      </c>
      <c r="H907" s="127" t="s">
        <v>3301</v>
      </c>
      <c r="I907" s="127" t="s">
        <v>3300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1739</v>
      </c>
      <c r="AA907" s="79"/>
    </row>
    <row r="908" spans="1:27">
      <c r="A908" s="135" t="s">
        <v>3299</v>
      </c>
      <c r="B908" s="83" t="str">
        <f t="shared" si="227"/>
        <v>SHOKENSOFUSAKI_ZIP_CD_1</v>
      </c>
      <c r="C908" s="87" t="s">
        <v>2167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3297</v>
      </c>
      <c r="H908" s="127" t="s">
        <v>2430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1739</v>
      </c>
      <c r="AA908" s="79"/>
    </row>
    <row r="909" spans="1:27">
      <c r="A909" s="135" t="s">
        <v>3298</v>
      </c>
      <c r="B909" s="83" t="str">
        <f t="shared" si="227"/>
        <v>SHOKENSOFUSAKI_ZIP_CD_2</v>
      </c>
      <c r="C909" s="87" t="s">
        <v>2165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3297</v>
      </c>
      <c r="H909" s="127" t="s">
        <v>2430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1739</v>
      </c>
      <c r="AA909" s="79"/>
    </row>
    <row r="910" spans="1:27">
      <c r="A910" s="145" t="s">
        <v>1853</v>
      </c>
      <c r="B910" s="83" t="str">
        <f t="shared" si="227"/>
        <v>SHOKEN_NO</v>
      </c>
      <c r="C910" s="87" t="s">
        <v>3296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3295</v>
      </c>
      <c r="H910" s="127" t="s">
        <v>1890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1739</v>
      </c>
      <c r="AA910" s="79"/>
    </row>
    <row r="911" spans="1:27">
      <c r="A911" s="145" t="s">
        <v>3294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3293</v>
      </c>
      <c r="H911" s="127" t="s">
        <v>183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1739</v>
      </c>
      <c r="AA911" s="79"/>
    </row>
    <row r="912" spans="1:27">
      <c r="A912" s="145" t="s">
        <v>3292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3290</v>
      </c>
      <c r="H912" s="127" t="s">
        <v>183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1739</v>
      </c>
      <c r="AA912" s="79"/>
    </row>
    <row r="913" spans="1:27">
      <c r="A913" s="145" t="s">
        <v>3291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3290</v>
      </c>
      <c r="H913" s="127" t="s">
        <v>183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1739</v>
      </c>
      <c r="AA913" s="79"/>
    </row>
    <row r="914" spans="1:27">
      <c r="A914" s="138" t="s">
        <v>3289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1828</v>
      </c>
      <c r="H914" s="127" t="s">
        <v>3288</v>
      </c>
      <c r="I914" s="127" t="s">
        <v>3287</v>
      </c>
      <c r="J914" s="127" t="s">
        <v>183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1739</v>
      </c>
      <c r="AA914" s="79"/>
    </row>
    <row r="915" spans="1:27">
      <c r="A915" s="166" t="s">
        <v>3286</v>
      </c>
      <c r="B915" s="83" t="str">
        <f t="shared" si="227"/>
        <v>JOB_CD</v>
      </c>
      <c r="C915" s="87" t="s">
        <v>7019</v>
      </c>
      <c r="D915" s="82" t="str">
        <f t="shared" si="224"/>
        <v>Char</v>
      </c>
      <c r="E915" s="82">
        <f t="shared" si="225"/>
        <v>2</v>
      </c>
      <c r="F915" s="82" t="str">
        <f t="shared" si="226"/>
        <v/>
      </c>
      <c r="G915" s="128" t="s">
        <v>2654</v>
      </c>
      <c r="H915" s="127" t="s">
        <v>183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1739</v>
      </c>
      <c r="AA915" s="267" t="s">
        <v>7025</v>
      </c>
    </row>
    <row r="916" spans="1:27">
      <c r="A916" s="96" t="s">
        <v>3284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3284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1739</v>
      </c>
      <c r="AA916" s="79"/>
    </row>
    <row r="917" spans="1:27">
      <c r="A917" s="135" t="s">
        <v>3285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3284</v>
      </c>
      <c r="H917" s="127" t="s">
        <v>3283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182</v>
      </c>
      <c r="AA917" s="79"/>
    </row>
    <row r="918" spans="1:27">
      <c r="A918" s="141" t="s">
        <v>3282</v>
      </c>
      <c r="B918" s="83" t="str">
        <f t="shared" si="227"/>
        <v>SHOKUMU_KB</v>
      </c>
      <c r="C918" s="87" t="s">
        <v>180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881</v>
      </c>
      <c r="H918" s="127" t="s">
        <v>1733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1739</v>
      </c>
      <c r="AA918" s="79"/>
    </row>
    <row r="919" spans="1:27">
      <c r="A919" s="96" t="s">
        <v>3281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3281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1739</v>
      </c>
      <c r="AA919" s="79"/>
    </row>
    <row r="920" spans="1:27">
      <c r="A920" s="135" t="s">
        <v>3280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3280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1739</v>
      </c>
      <c r="AA920" s="79"/>
    </row>
    <row r="921" spans="1:27">
      <c r="A921" s="165" t="s">
        <v>3279</v>
      </c>
      <c r="B921" s="83" t="str">
        <f t="shared" si="227"/>
        <v>OFFER_FORM_CD</v>
      </c>
      <c r="C921" s="87" t="s">
        <v>1594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3250</v>
      </c>
      <c r="H921" s="127" t="s">
        <v>183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1739</v>
      </c>
      <c r="AA921" s="79"/>
    </row>
    <row r="922" spans="1:27">
      <c r="A922" s="135" t="s">
        <v>3278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3250</v>
      </c>
      <c r="H922" s="127" t="s">
        <v>3277</v>
      </c>
      <c r="I922" s="127" t="s">
        <v>3276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1739</v>
      </c>
      <c r="AA922" s="79"/>
    </row>
    <row r="923" spans="1:27">
      <c r="A923" s="135" t="s">
        <v>3275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3250</v>
      </c>
      <c r="H923" s="127" t="s">
        <v>1988</v>
      </c>
      <c r="I923" s="127" t="s">
        <v>1733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1739</v>
      </c>
      <c r="AA923" s="79"/>
    </row>
    <row r="924" spans="1:27">
      <c r="A924" s="135" t="s">
        <v>3274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3250</v>
      </c>
      <c r="H924" s="127" t="s">
        <v>2172</v>
      </c>
      <c r="I924" s="127" t="s">
        <v>198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1739</v>
      </c>
      <c r="AA924" s="79"/>
    </row>
    <row r="925" spans="1:27">
      <c r="A925" s="135" t="s">
        <v>3273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3250</v>
      </c>
      <c r="H925" s="127" t="s">
        <v>3272</v>
      </c>
      <c r="I925" s="127" t="s">
        <v>1733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1739</v>
      </c>
      <c r="AA925" s="79"/>
    </row>
    <row r="926" spans="1:27">
      <c r="A926" s="135" t="s">
        <v>3271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3250</v>
      </c>
      <c r="H926" s="127" t="s">
        <v>882</v>
      </c>
      <c r="I926" s="127" t="s">
        <v>884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1739</v>
      </c>
      <c r="AA926" s="79"/>
    </row>
    <row r="927" spans="1:27">
      <c r="A927" s="135" t="s">
        <v>3270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3250</v>
      </c>
      <c r="H927" s="127" t="s">
        <v>882</v>
      </c>
      <c r="I927" s="127" t="s">
        <v>3269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1739</v>
      </c>
      <c r="AA927" s="79"/>
    </row>
    <row r="928" spans="1:27">
      <c r="A928" s="135" t="s">
        <v>3268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3250</v>
      </c>
      <c r="H928" s="127" t="s">
        <v>882</v>
      </c>
      <c r="I928" s="127" t="s">
        <v>3267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1739</v>
      </c>
      <c r="AA928" s="79"/>
    </row>
    <row r="929" spans="1:27">
      <c r="A929" s="135" t="s">
        <v>3266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3250</v>
      </c>
      <c r="H929" s="127" t="s">
        <v>882</v>
      </c>
      <c r="I929" s="127" t="s">
        <v>3265</v>
      </c>
      <c r="J929" s="127" t="s">
        <v>3264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1739</v>
      </c>
      <c r="AA929" s="79"/>
    </row>
    <row r="930" spans="1:27">
      <c r="A930" s="135" t="s">
        <v>3263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3250</v>
      </c>
      <c r="H930" s="127" t="s">
        <v>882</v>
      </c>
      <c r="I930" s="127" t="s">
        <v>3262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1739</v>
      </c>
      <c r="AA930" s="79"/>
    </row>
    <row r="931" spans="1:27">
      <c r="A931" s="135" t="s">
        <v>3261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3250</v>
      </c>
      <c r="H931" s="127" t="s">
        <v>882</v>
      </c>
      <c r="I931" s="127" t="s">
        <v>3260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1739</v>
      </c>
      <c r="AA931" s="79"/>
    </row>
    <row r="932" spans="1:27">
      <c r="A932" s="135" t="s">
        <v>3259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3250</v>
      </c>
      <c r="H932" s="127" t="s">
        <v>882</v>
      </c>
      <c r="I932" s="127" t="s">
        <v>3258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1739</v>
      </c>
      <c r="AA932" s="79"/>
    </row>
    <row r="933" spans="1:27">
      <c r="A933" s="135" t="s">
        <v>3257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3250</v>
      </c>
      <c r="H933" s="127" t="s">
        <v>882</v>
      </c>
      <c r="I933" s="127" t="s">
        <v>3256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1739</v>
      </c>
      <c r="AA933" s="79"/>
    </row>
    <row r="934" spans="1:27">
      <c r="A934" s="135" t="s">
        <v>3255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3250</v>
      </c>
      <c r="H934" s="127" t="s">
        <v>882</v>
      </c>
      <c r="I934" s="127" t="s">
        <v>3254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1739</v>
      </c>
      <c r="AA934" s="79"/>
    </row>
    <row r="935" spans="1:27">
      <c r="A935" s="135" t="s">
        <v>3253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3250</v>
      </c>
      <c r="H935" s="127" t="s">
        <v>2068</v>
      </c>
      <c r="I935" s="127" t="s">
        <v>1908</v>
      </c>
      <c r="J935" s="127" t="s">
        <v>1907</v>
      </c>
      <c r="K935" s="127" t="s">
        <v>1908</v>
      </c>
      <c r="L935" s="132" t="s">
        <v>3252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1739</v>
      </c>
      <c r="AA935" s="79"/>
    </row>
    <row r="936" spans="1:27">
      <c r="A936" s="166" t="s">
        <v>3251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3250</v>
      </c>
      <c r="H936" s="127" t="s">
        <v>882</v>
      </c>
      <c r="I936" s="127" t="s">
        <v>887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182</v>
      </c>
      <c r="AA936" s="79"/>
    </row>
    <row r="937" spans="1:27">
      <c r="A937" s="141" t="s">
        <v>3249</v>
      </c>
      <c r="B937" s="83" t="str">
        <f t="shared" si="227"/>
        <v>OFFER_KEIRO_KB</v>
      </c>
      <c r="C937" s="87" t="s">
        <v>180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3248</v>
      </c>
      <c r="H937" s="127" t="s">
        <v>3247</v>
      </c>
      <c r="I937" s="127" t="s">
        <v>1733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1487</v>
      </c>
      <c r="AA937" s="79"/>
    </row>
    <row r="938" spans="1:27">
      <c r="A938" s="135" t="s">
        <v>3246</v>
      </c>
      <c r="B938" s="83" t="str">
        <f t="shared" si="227"/>
        <v>OFFER_UKETSUKEKANO_START_DATE</v>
      </c>
      <c r="C938" s="87" t="s">
        <v>1483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3245</v>
      </c>
      <c r="H938" s="127" t="s">
        <v>2477</v>
      </c>
      <c r="I938" s="127" t="s">
        <v>1483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1487</v>
      </c>
      <c r="AA938" s="79"/>
    </row>
    <row r="939" spans="1:27">
      <c r="A939" s="135" t="s">
        <v>3244</v>
      </c>
      <c r="B939" s="83" t="str">
        <f t="shared" si="227"/>
        <v>OFFER_UKETSUKEKANO_END_DATE</v>
      </c>
      <c r="C939" s="87" t="s">
        <v>1483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3243</v>
      </c>
      <c r="H939" s="127" t="s">
        <v>3242</v>
      </c>
      <c r="I939" s="127" t="s">
        <v>1483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1739</v>
      </c>
      <c r="AA939" s="79"/>
    </row>
    <row r="940" spans="1:27">
      <c r="A940" s="135" t="s">
        <v>3241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175</v>
      </c>
      <c r="H940" s="127" t="s">
        <v>3240</v>
      </c>
      <c r="I940" s="127" t="s">
        <v>1890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1487</v>
      </c>
      <c r="AA940" s="79"/>
    </row>
    <row r="941" spans="1:27">
      <c r="A941" s="135" t="s">
        <v>3239</v>
      </c>
      <c r="B941" s="83" t="str">
        <f t="shared" si="227"/>
        <v>APP_FRM_CREATE_DATE</v>
      </c>
      <c r="C941" s="87" t="s">
        <v>1483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175</v>
      </c>
      <c r="H941" s="127" t="s">
        <v>3238</v>
      </c>
      <c r="I941" s="127" t="s">
        <v>553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1739</v>
      </c>
      <c r="AA941" s="79"/>
    </row>
    <row r="942" spans="1:27">
      <c r="A942" s="135" t="s">
        <v>3237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199</v>
      </c>
      <c r="H942" s="127" t="s">
        <v>215</v>
      </c>
      <c r="I942" s="127" t="s">
        <v>3236</v>
      </c>
      <c r="J942" s="127" t="s">
        <v>728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1739</v>
      </c>
      <c r="AA942" s="79"/>
    </row>
    <row r="943" spans="1:27">
      <c r="A943" s="135" t="s">
        <v>3235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3210</v>
      </c>
      <c r="H943" s="127"/>
      <c r="I943" s="127" t="s">
        <v>1875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1739</v>
      </c>
      <c r="AA943" s="79"/>
    </row>
    <row r="944" spans="1:27">
      <c r="A944" s="135" t="s">
        <v>3234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3210</v>
      </c>
      <c r="H944" s="127"/>
      <c r="I944" s="127" t="s">
        <v>3232</v>
      </c>
      <c r="J944" s="127" t="s">
        <v>1986</v>
      </c>
      <c r="K944" s="127" t="s">
        <v>3219</v>
      </c>
      <c r="L944" s="132" t="s">
        <v>1890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1739</v>
      </c>
      <c r="AA944" s="79"/>
    </row>
    <row r="945" spans="1:27">
      <c r="A945" s="135" t="s">
        <v>3233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3210</v>
      </c>
      <c r="H945" s="127"/>
      <c r="I945" s="127" t="s">
        <v>3232</v>
      </c>
      <c r="J945" s="127" t="s">
        <v>3219</v>
      </c>
      <c r="K945" s="127" t="s">
        <v>1890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1739</v>
      </c>
      <c r="AA945" s="79"/>
    </row>
    <row r="946" spans="1:27">
      <c r="A946" s="135" t="s">
        <v>3231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3210</v>
      </c>
      <c r="H946" s="127"/>
      <c r="I946" s="127" t="s">
        <v>2599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1739</v>
      </c>
      <c r="AA946" s="79"/>
    </row>
    <row r="947" spans="1:27">
      <c r="A947" s="135" t="s">
        <v>3230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3210</v>
      </c>
      <c r="H947" s="127"/>
      <c r="I947" s="127" t="s">
        <v>3227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1739</v>
      </c>
      <c r="AA947" s="79"/>
    </row>
    <row r="948" spans="1:27">
      <c r="A948" s="135" t="s">
        <v>3229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3210</v>
      </c>
      <c r="H948" s="127"/>
      <c r="I948" s="127" t="s">
        <v>3227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1739</v>
      </c>
      <c r="AA948" s="79"/>
    </row>
    <row r="949" spans="1:27">
      <c r="A949" s="135" t="s">
        <v>3228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3210</v>
      </c>
      <c r="H949" s="127"/>
      <c r="I949" s="127" t="s">
        <v>3227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1739</v>
      </c>
      <c r="AA949" s="79"/>
    </row>
    <row r="950" spans="1:27">
      <c r="A950" s="135" t="s">
        <v>3226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3210</v>
      </c>
      <c r="H950" s="127"/>
      <c r="I950" s="127" t="s">
        <v>3225</v>
      </c>
      <c r="J950" s="127" t="s">
        <v>183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1739</v>
      </c>
      <c r="AA950" s="79"/>
    </row>
    <row r="951" spans="1:27">
      <c r="A951" s="135" t="s">
        <v>3224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3210</v>
      </c>
      <c r="H951" s="127"/>
      <c r="I951" s="127" t="s">
        <v>3220</v>
      </c>
      <c r="J951" s="127" t="s">
        <v>3219</v>
      </c>
      <c r="K951" s="127" t="s">
        <v>1890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1739</v>
      </c>
      <c r="AA951" s="79"/>
    </row>
    <row r="952" spans="1:27">
      <c r="A952" s="135" t="s">
        <v>3223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3210</v>
      </c>
      <c r="H952" s="127"/>
      <c r="I952" s="127" t="s">
        <v>3220</v>
      </c>
      <c r="J952" s="127" t="s">
        <v>3219</v>
      </c>
      <c r="K952" s="127" t="s">
        <v>1890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1739</v>
      </c>
      <c r="AA952" s="79"/>
    </row>
    <row r="953" spans="1:27">
      <c r="A953" s="135" t="s">
        <v>3222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3210</v>
      </c>
      <c r="H953" s="127"/>
      <c r="I953" s="127" t="s">
        <v>3220</v>
      </c>
      <c r="J953" s="127" t="s">
        <v>3219</v>
      </c>
      <c r="K953" s="127" t="s">
        <v>1890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1739</v>
      </c>
      <c r="AA953" s="79"/>
    </row>
    <row r="954" spans="1:27">
      <c r="A954" s="135" t="s">
        <v>3221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3210</v>
      </c>
      <c r="H954" s="127"/>
      <c r="I954" s="127" t="s">
        <v>3220</v>
      </c>
      <c r="J954" s="127" t="s">
        <v>3219</v>
      </c>
      <c r="K954" s="127" t="s">
        <v>1890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1739</v>
      </c>
      <c r="AA954" s="79"/>
    </row>
    <row r="955" spans="1:27">
      <c r="A955" s="135" t="s">
        <v>3218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3210</v>
      </c>
      <c r="H955" s="127"/>
      <c r="I955" s="127" t="s">
        <v>1877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1739</v>
      </c>
      <c r="AA955" s="79"/>
    </row>
    <row r="956" spans="1:27">
      <c r="A956" s="135" t="s">
        <v>3217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3210</v>
      </c>
      <c r="H956" s="127"/>
      <c r="I956" s="127" t="s">
        <v>3216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1739</v>
      </c>
      <c r="AA956" s="79"/>
    </row>
    <row r="957" spans="1:27">
      <c r="A957" s="135" t="s">
        <v>3215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3210</v>
      </c>
      <c r="H957" s="127"/>
      <c r="I957" s="127" t="s">
        <v>3214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1739</v>
      </c>
      <c r="AA957" s="79"/>
    </row>
    <row r="958" spans="1:27">
      <c r="A958" s="135" t="s">
        <v>3213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3210</v>
      </c>
      <c r="H958" s="127"/>
      <c r="I958" s="127" t="s">
        <v>3212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1739</v>
      </c>
      <c r="AA958" s="79"/>
    </row>
    <row r="959" spans="1:27">
      <c r="A959" s="135" t="s">
        <v>3211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3210</v>
      </c>
      <c r="H959" s="127"/>
      <c r="I959" s="127" t="s">
        <v>2470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1487</v>
      </c>
      <c r="AA959" s="79"/>
    </row>
    <row r="960" spans="1:27">
      <c r="A960" s="96" t="s">
        <v>3209</v>
      </c>
      <c r="B960" s="83" t="str">
        <f t="shared" si="227"/>
        <v>OFFER_DATE</v>
      </c>
      <c r="C960" s="87" t="s">
        <v>1483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3208</v>
      </c>
      <c r="H960" s="127" t="s">
        <v>1483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1739</v>
      </c>
      <c r="AA960" s="79"/>
    </row>
    <row r="961" spans="1:27">
      <c r="A961" s="96" t="s">
        <v>3207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3207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1739</v>
      </c>
      <c r="AA961" s="79"/>
    </row>
    <row r="962" spans="1:27">
      <c r="A962" s="134" t="s">
        <v>3206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3206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1739</v>
      </c>
      <c r="AA962" s="79"/>
    </row>
    <row r="963" spans="1:27">
      <c r="A963" s="96" t="s">
        <v>3205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3204</v>
      </c>
      <c r="H963" s="127" t="s">
        <v>3203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1739</v>
      </c>
      <c r="AA963" s="79"/>
    </row>
    <row r="964" spans="1:27">
      <c r="A964" s="96" t="s">
        <v>3202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3185</v>
      </c>
      <c r="H964" s="127" t="s">
        <v>2303</v>
      </c>
      <c r="I964" s="127" t="s">
        <v>2334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1739</v>
      </c>
      <c r="AA964" s="79"/>
    </row>
    <row r="965" spans="1:27">
      <c r="A965" s="151" t="s">
        <v>3201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3185</v>
      </c>
      <c r="H965" s="127" t="s">
        <v>207</v>
      </c>
      <c r="I965" s="127" t="s">
        <v>2681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1739</v>
      </c>
      <c r="AA965" s="79"/>
    </row>
    <row r="966" spans="1:27">
      <c r="A966" s="151" t="s">
        <v>3200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3185</v>
      </c>
      <c r="H966" s="127" t="s">
        <v>207</v>
      </c>
      <c r="I966" s="127" t="s">
        <v>3199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1739</v>
      </c>
      <c r="AA966" s="79"/>
    </row>
    <row r="967" spans="1:27">
      <c r="A967" s="96" t="s">
        <v>3198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3185</v>
      </c>
      <c r="H967" s="127" t="s">
        <v>2334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1739</v>
      </c>
      <c r="AA967" s="79"/>
    </row>
    <row r="968" spans="1:27">
      <c r="A968" s="96" t="s">
        <v>3197</v>
      </c>
      <c r="B968" s="83" t="str">
        <f t="shared" si="243"/>
        <v>SETAINUSHI_JOB_CD</v>
      </c>
      <c r="C968" s="87" t="s">
        <v>2193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3185</v>
      </c>
      <c r="H968" s="127" t="s">
        <v>2654</v>
      </c>
      <c r="I968" s="97" t="s">
        <v>1737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1739</v>
      </c>
      <c r="AA968" s="79"/>
    </row>
    <row r="969" spans="1:27">
      <c r="A969" s="96" t="s">
        <v>3196</v>
      </c>
      <c r="B969" s="83" t="str">
        <f t="shared" si="243"/>
        <v>SETAINUSHI_SEX_CD</v>
      </c>
      <c r="C969" s="87" t="s">
        <v>1619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3185</v>
      </c>
      <c r="H969" s="127" t="s">
        <v>129</v>
      </c>
      <c r="I969" s="127" t="s">
        <v>1737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1487</v>
      </c>
      <c r="AA969" s="79"/>
    </row>
    <row r="970" spans="1:27">
      <c r="A970" s="96" t="s">
        <v>3195</v>
      </c>
      <c r="B970" s="83" t="str">
        <f t="shared" si="243"/>
        <v>SETAINUSHI_BIRTH</v>
      </c>
      <c r="C970" s="87" t="s">
        <v>1483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3185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1739</v>
      </c>
      <c r="AA970" s="79"/>
    </row>
    <row r="971" spans="1:27">
      <c r="A971" s="151" t="s">
        <v>3194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3185</v>
      </c>
      <c r="H971" s="127" t="s">
        <v>2650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1739</v>
      </c>
      <c r="AA971" s="79"/>
    </row>
    <row r="972" spans="1:27">
      <c r="A972" s="96" t="s">
        <v>3193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3185</v>
      </c>
      <c r="H972" s="127" t="s">
        <v>3192</v>
      </c>
      <c r="I972" s="127" t="s">
        <v>2324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1739</v>
      </c>
      <c r="AA972" s="79"/>
    </row>
    <row r="973" spans="1:27">
      <c r="A973" s="96" t="s">
        <v>3191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3185</v>
      </c>
      <c r="H973" s="127" t="s">
        <v>431</v>
      </c>
      <c r="I973" s="127" t="s">
        <v>2274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1739</v>
      </c>
      <c r="AA973" s="79"/>
    </row>
    <row r="974" spans="1:27">
      <c r="A974" s="96" t="s">
        <v>3190</v>
      </c>
      <c r="B974" s="83" t="str">
        <f t="shared" si="243"/>
        <v>SETAINUSHI_NENSHU</v>
      </c>
      <c r="C974" s="87" t="s">
        <v>753</v>
      </c>
      <c r="D974" s="82" t="str">
        <f t="shared" si="240"/>
        <v>Number</v>
      </c>
      <c r="E974" s="82">
        <f t="shared" si="241"/>
        <v>11</v>
      </c>
      <c r="F974" s="82" t="str">
        <f t="shared" si="242"/>
        <v/>
      </c>
      <c r="G974" s="128" t="s">
        <v>3185</v>
      </c>
      <c r="H974" s="127" t="s">
        <v>1000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1739</v>
      </c>
      <c r="AA974" s="79"/>
    </row>
    <row r="975" spans="1:27">
      <c r="A975" s="96" t="s">
        <v>3189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3185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1739</v>
      </c>
      <c r="AA975" s="79"/>
    </row>
    <row r="976" spans="1:27">
      <c r="A976" s="96" t="s">
        <v>3188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3185</v>
      </c>
      <c r="H976" s="127" t="s">
        <v>2403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1739</v>
      </c>
      <c r="AA976" s="79"/>
    </row>
    <row r="977" spans="1:27">
      <c r="A977" s="96" t="s">
        <v>3187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3185</v>
      </c>
      <c r="H977" s="127" t="s">
        <v>2395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1739</v>
      </c>
      <c r="AA977" s="79"/>
    </row>
    <row r="978" spans="1:27">
      <c r="A978" s="151" t="s">
        <v>3186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3185</v>
      </c>
      <c r="H978" s="127" t="s">
        <v>2628</v>
      </c>
      <c r="I978" s="127" t="s">
        <v>1914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1739</v>
      </c>
      <c r="AA978" s="79"/>
    </row>
    <row r="979" spans="1:27">
      <c r="A979" s="135" t="s">
        <v>3184</v>
      </c>
      <c r="B979" s="83" t="str">
        <f t="shared" si="243"/>
        <v>SEIDO_NO</v>
      </c>
      <c r="C979" s="87" t="s">
        <v>3183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3182</v>
      </c>
      <c r="H979" s="127" t="s">
        <v>1849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379</v>
      </c>
      <c r="AA979" s="79"/>
    </row>
    <row r="980" spans="1:27">
      <c r="A980" s="137" t="s">
        <v>3181</v>
      </c>
      <c r="B980" s="83" t="str">
        <f t="shared" si="243"/>
        <v>SEISEKI_KEIJO_KEIJO_RT</v>
      </c>
      <c r="C980" s="87" t="s">
        <v>2465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3178</v>
      </c>
      <c r="H980" s="127" t="s">
        <v>3180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1739</v>
      </c>
      <c r="AA980" s="79"/>
    </row>
    <row r="981" spans="1:27">
      <c r="A981" s="137" t="s">
        <v>3179</v>
      </c>
      <c r="B981" s="83" t="str">
        <f t="shared" si="243"/>
        <v>SEISEKI_KEIJO_TAISEN_LMTCST</v>
      </c>
      <c r="C981" s="87" t="s">
        <v>753</v>
      </c>
      <c r="D981" s="82" t="str">
        <f t="shared" si="240"/>
        <v>Number</v>
      </c>
      <c r="E981" s="82">
        <f t="shared" si="241"/>
        <v>11</v>
      </c>
      <c r="F981" s="82" t="str">
        <f t="shared" si="242"/>
        <v/>
      </c>
      <c r="G981" s="128" t="s">
        <v>3178</v>
      </c>
      <c r="H981" s="127" t="s">
        <v>2459</v>
      </c>
      <c r="I981" s="127" t="s">
        <v>3177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1739</v>
      </c>
      <c r="AA981" s="79"/>
    </row>
    <row r="982" spans="1:27">
      <c r="A982" s="96" t="s">
        <v>3176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3175</v>
      </c>
      <c r="H982" s="127" t="s">
        <v>1314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1487</v>
      </c>
      <c r="AA982" s="79"/>
    </row>
    <row r="983" spans="1:27">
      <c r="A983" s="133" t="s">
        <v>3174</v>
      </c>
      <c r="B983" s="83" t="str">
        <f t="shared" si="243"/>
        <v>BIRTH</v>
      </c>
      <c r="C983" s="87" t="s">
        <v>1483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1739</v>
      </c>
      <c r="AA983" s="79"/>
    </row>
    <row r="984" spans="1:27">
      <c r="A984" s="96" t="s">
        <v>3173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3171</v>
      </c>
      <c r="H984" s="127" t="s">
        <v>1314</v>
      </c>
      <c r="I984" s="127" t="s">
        <v>391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1739</v>
      </c>
      <c r="AA984" s="79"/>
    </row>
    <row r="985" spans="1:27">
      <c r="A985" s="138" t="s">
        <v>3172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3171</v>
      </c>
      <c r="H985" s="127" t="s">
        <v>3170</v>
      </c>
      <c r="I985" s="127" t="s">
        <v>1890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1739</v>
      </c>
      <c r="AA985" s="79"/>
    </row>
    <row r="986" spans="1:27">
      <c r="A986" s="96" t="s">
        <v>3169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3164</v>
      </c>
      <c r="H986" s="127" t="s">
        <v>391</v>
      </c>
      <c r="I986" s="127" t="s">
        <v>207</v>
      </c>
      <c r="J986" s="127" t="s">
        <v>2704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1739</v>
      </c>
      <c r="AA986" s="79"/>
    </row>
    <row r="987" spans="1:27">
      <c r="A987" s="96" t="s">
        <v>3168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3164</v>
      </c>
      <c r="H987" s="127" t="s">
        <v>391</v>
      </c>
      <c r="I987" s="127" t="s">
        <v>2708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1739</v>
      </c>
      <c r="AA987" s="79"/>
    </row>
    <row r="988" spans="1:27">
      <c r="A988" s="96" t="s">
        <v>3167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3164</v>
      </c>
      <c r="H988" s="127" t="s">
        <v>391</v>
      </c>
      <c r="I988" s="127" t="s">
        <v>2706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1739</v>
      </c>
      <c r="AA988" s="79"/>
    </row>
    <row r="989" spans="1:27">
      <c r="A989" s="96" t="s">
        <v>3166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3164</v>
      </c>
      <c r="H989" s="127" t="s">
        <v>391</v>
      </c>
      <c r="I989" s="127" t="s">
        <v>2704</v>
      </c>
      <c r="J989" s="127" t="s">
        <v>1314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1739</v>
      </c>
      <c r="AA989" s="79"/>
    </row>
    <row r="990" spans="1:27">
      <c r="A990" s="96" t="s">
        <v>3165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3164</v>
      </c>
      <c r="H990" s="127" t="s">
        <v>391</v>
      </c>
      <c r="I990" s="127" t="s">
        <v>2702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1739</v>
      </c>
      <c r="AA990" s="79"/>
    </row>
    <row r="991" spans="1:27">
      <c r="A991" s="96" t="s">
        <v>3163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3162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1739</v>
      </c>
      <c r="AA991" s="79"/>
    </row>
    <row r="992" spans="1:27">
      <c r="A992" s="96" t="s">
        <v>3161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3160</v>
      </c>
      <c r="H992" s="127" t="s">
        <v>3159</v>
      </c>
      <c r="I992" s="127" t="s">
        <v>764</v>
      </c>
      <c r="J992" s="127" t="s">
        <v>183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1739</v>
      </c>
      <c r="AA992" s="79"/>
    </row>
    <row r="993" spans="1:27">
      <c r="A993" s="96" t="s">
        <v>3158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3157</v>
      </c>
      <c r="H993" s="127" t="s">
        <v>3156</v>
      </c>
      <c r="I993" s="127" t="s">
        <v>2241</v>
      </c>
      <c r="J993" s="127" t="s">
        <v>1314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1739</v>
      </c>
      <c r="AA993" s="79"/>
    </row>
    <row r="994" spans="1:27">
      <c r="A994" s="96" t="s">
        <v>2735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2735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1739</v>
      </c>
      <c r="AA994" s="79"/>
    </row>
    <row r="995" spans="1:27">
      <c r="A995" s="96" t="s">
        <v>3155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2735</v>
      </c>
      <c r="H995" s="127" t="s">
        <v>207</v>
      </c>
      <c r="I995" s="127" t="s">
        <v>2704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1739</v>
      </c>
      <c r="AA995" s="79"/>
    </row>
    <row r="996" spans="1:27">
      <c r="A996" s="96" t="s">
        <v>3154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2735</v>
      </c>
      <c r="H996" s="127" t="s">
        <v>2708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1739</v>
      </c>
      <c r="AA996" s="79"/>
    </row>
    <row r="997" spans="1:27">
      <c r="A997" s="96" t="s">
        <v>3153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2735</v>
      </c>
      <c r="H997" s="127" t="s">
        <v>2706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1739</v>
      </c>
      <c r="AA997" s="79"/>
    </row>
    <row r="998" spans="1:27">
      <c r="A998" s="96" t="s">
        <v>3152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2735</v>
      </c>
      <c r="H998" s="127" t="s">
        <v>2702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1739</v>
      </c>
      <c r="AA998" s="79"/>
    </row>
    <row r="999" spans="1:27">
      <c r="A999" s="154" t="s">
        <v>3151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3150</v>
      </c>
      <c r="H999" s="127" t="s">
        <v>3149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1739</v>
      </c>
      <c r="AA999" s="79"/>
    </row>
    <row r="1000" spans="1:27">
      <c r="A1000" s="88" t="s">
        <v>3148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3148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1739</v>
      </c>
      <c r="AA1000" s="79"/>
    </row>
    <row r="1001" spans="1:27">
      <c r="A1001" s="96" t="s">
        <v>3147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3146</v>
      </c>
      <c r="H1001" s="127" t="s">
        <v>3145</v>
      </c>
      <c r="I1001" s="127" t="s">
        <v>2216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1101</v>
      </c>
      <c r="AA1001" s="79"/>
    </row>
    <row r="1002" spans="1:27">
      <c r="A1002" s="143" t="s">
        <v>3144</v>
      </c>
      <c r="B1002" s="83" t="str">
        <f t="shared" si="243"/>
        <v>KIRIKUCHI_NAME</v>
      </c>
      <c r="C1002" s="87" t="s">
        <v>3143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3138</v>
      </c>
      <c r="H1002" s="127" t="s">
        <v>1403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1739</v>
      </c>
      <c r="AA1002" s="79"/>
    </row>
    <row r="1003" spans="1:27">
      <c r="A1003" s="143" t="s">
        <v>3142</v>
      </c>
      <c r="B1003" s="83" t="str">
        <f t="shared" si="243"/>
        <v>KIRIKUCHI_CD</v>
      </c>
      <c r="C1003" s="87" t="s">
        <v>1594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3138</v>
      </c>
      <c r="H1003" s="127" t="s">
        <v>183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1739</v>
      </c>
      <c r="AA1003" s="79"/>
    </row>
    <row r="1004" spans="1:27">
      <c r="A1004" s="143" t="s">
        <v>3141</v>
      </c>
      <c r="B1004" s="83" t="str">
        <f t="shared" si="243"/>
        <v>KIRIKUCHI_RNAME</v>
      </c>
      <c r="C1004" s="87" t="s">
        <v>3140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3138</v>
      </c>
      <c r="H1004" s="127" t="s">
        <v>1559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1739</v>
      </c>
      <c r="AA1004" s="79"/>
    </row>
    <row r="1005" spans="1:27">
      <c r="A1005" s="145" t="s">
        <v>3139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3138</v>
      </c>
      <c r="H1005" s="127" t="s">
        <v>3137</v>
      </c>
      <c r="I1005" s="127" t="s">
        <v>3136</v>
      </c>
      <c r="J1005" s="127" t="s">
        <v>3135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1739</v>
      </c>
      <c r="AA1005" s="79"/>
    </row>
    <row r="1006" spans="1:27">
      <c r="A1006" s="135" t="s">
        <v>3134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832</v>
      </c>
      <c r="H1006" s="127" t="s">
        <v>2555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182</v>
      </c>
      <c r="AA1006" s="79"/>
    </row>
    <row r="1007" spans="1:27">
      <c r="A1007" s="96" t="s">
        <v>3133</v>
      </c>
      <c r="B1007" s="83" t="str">
        <f t="shared" si="243"/>
        <v>SEKKEI_KB</v>
      </c>
      <c r="C1007" s="87" t="s">
        <v>180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832</v>
      </c>
      <c r="H1007" s="127" t="s">
        <v>177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1487</v>
      </c>
      <c r="AA1007" s="79"/>
    </row>
    <row r="1008" spans="1:27">
      <c r="A1008" s="135" t="s">
        <v>3132</v>
      </c>
      <c r="B1008" s="83" t="str">
        <f t="shared" si="243"/>
        <v>SEKKEI_UPDATE_DATE</v>
      </c>
      <c r="C1008" s="87" t="s">
        <v>1483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832</v>
      </c>
      <c r="H1008" s="127" t="s">
        <v>3131</v>
      </c>
      <c r="I1008" s="127" t="s">
        <v>553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1739</v>
      </c>
      <c r="AA1008" s="79"/>
    </row>
    <row r="1009" spans="1:27">
      <c r="A1009" s="165" t="s">
        <v>3130</v>
      </c>
      <c r="B1009" s="83" t="str">
        <f t="shared" si="243"/>
        <v>SEKKEI_SUMI_KATA_CD</v>
      </c>
      <c r="C1009" s="87" t="s">
        <v>1574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832</v>
      </c>
      <c r="H1009" s="127" t="s">
        <v>3128</v>
      </c>
      <c r="I1009" s="127" t="s">
        <v>89</v>
      </c>
      <c r="J1009" s="127" t="s">
        <v>1737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1739</v>
      </c>
      <c r="AA1009" s="79"/>
    </row>
    <row r="1010" spans="1:27">
      <c r="A1010" s="165" t="s">
        <v>3129</v>
      </c>
      <c r="B1010" s="83" t="str">
        <f t="shared" si="243"/>
        <v>SEKKEI_SUMI_HOSHO_CD</v>
      </c>
      <c r="C1010" s="87" t="s">
        <v>1441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832</v>
      </c>
      <c r="H1010" s="127" t="s">
        <v>3128</v>
      </c>
      <c r="I1010" s="127" t="s">
        <v>2204</v>
      </c>
      <c r="J1010" s="127" t="s">
        <v>1737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1739</v>
      </c>
      <c r="AA1010" s="79"/>
    </row>
    <row r="1011" spans="1:27">
      <c r="A1011" s="96" t="s">
        <v>3127</v>
      </c>
      <c r="B1011" s="83" t="str">
        <f t="shared" si="243"/>
        <v>ILST_SHEET_NO</v>
      </c>
      <c r="C1011" s="87" t="s">
        <v>3126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2551</v>
      </c>
      <c r="H1011" s="127" t="s">
        <v>3125</v>
      </c>
      <c r="I1011" s="127" t="s">
        <v>1849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1739</v>
      </c>
      <c r="AA1011" s="79"/>
    </row>
    <row r="1012" spans="1:27">
      <c r="A1012" s="145" t="s">
        <v>3124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832</v>
      </c>
      <c r="H1012" s="127" t="s">
        <v>1827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1487</v>
      </c>
      <c r="AA1012" s="79"/>
    </row>
    <row r="1013" spans="1:27">
      <c r="A1013" s="135" t="s">
        <v>3123</v>
      </c>
      <c r="B1013" s="83" t="str">
        <f t="shared" si="243"/>
        <v>SEKKEI_DATE</v>
      </c>
      <c r="C1013" s="87" t="s">
        <v>1483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832</v>
      </c>
      <c r="H1013" s="127" t="s">
        <v>2256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1739</v>
      </c>
      <c r="AA1013" s="79"/>
    </row>
    <row r="1014" spans="1:27">
      <c r="A1014" s="159" t="s">
        <v>3122</v>
      </c>
      <c r="B1014" s="83" t="str">
        <f t="shared" si="243"/>
        <v>SENSHIN_IRYO_FLG</v>
      </c>
      <c r="C1014" s="87" t="s">
        <v>1728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3120</v>
      </c>
      <c r="H1014" s="127" t="s">
        <v>3119</v>
      </c>
      <c r="I1014" s="127" t="s">
        <v>1728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1739</v>
      </c>
      <c r="AA1014" s="79"/>
    </row>
    <row r="1015" spans="1:27">
      <c r="A1015" s="159" t="s">
        <v>3121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3120</v>
      </c>
      <c r="H1015" s="127" t="s">
        <v>3119</v>
      </c>
      <c r="I1015" s="127" t="s">
        <v>3118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182</v>
      </c>
      <c r="AA1015" s="79"/>
    </row>
    <row r="1016" spans="1:27">
      <c r="A1016" s="135" t="s">
        <v>3117</v>
      </c>
      <c r="B1016" s="83" t="str">
        <f t="shared" si="243"/>
        <v>SELECT_HOHO_KB</v>
      </c>
      <c r="C1016" s="87" t="s">
        <v>180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857</v>
      </c>
      <c r="H1016" s="127" t="s">
        <v>193</v>
      </c>
      <c r="I1016" s="127" t="s">
        <v>3116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1549</v>
      </c>
      <c r="AA1016" s="79"/>
    </row>
    <row r="1017" spans="1:27">
      <c r="A1017" s="135" t="s">
        <v>3115</v>
      </c>
      <c r="B1017" s="83" t="str">
        <f t="shared" si="243"/>
        <v>P_PLCY_FLG</v>
      </c>
      <c r="C1017" s="87" t="s">
        <v>3114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3108</v>
      </c>
      <c r="H1017" s="127" t="s">
        <v>465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1739</v>
      </c>
      <c r="AA1017" s="79"/>
    </row>
    <row r="1018" spans="1:27">
      <c r="A1018" s="143" t="s">
        <v>3113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3108</v>
      </c>
      <c r="H1018" s="127" t="s">
        <v>1856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1739</v>
      </c>
      <c r="AA1018" s="79"/>
    </row>
    <row r="1019" spans="1:27">
      <c r="A1019" s="143" t="s">
        <v>3112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3108</v>
      </c>
      <c r="H1019" s="127" t="s">
        <v>1856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1739</v>
      </c>
      <c r="AA1019" s="79"/>
    </row>
    <row r="1020" spans="1:27">
      <c r="A1020" s="143" t="s">
        <v>3111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3108</v>
      </c>
      <c r="H1020" s="127" t="s">
        <v>1856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1739</v>
      </c>
      <c r="AA1020" s="79"/>
    </row>
    <row r="1021" spans="1:27">
      <c r="A1021" s="143" t="s">
        <v>3110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3108</v>
      </c>
      <c r="H1021" s="127" t="s">
        <v>1856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1739</v>
      </c>
      <c r="AA1021" s="79"/>
    </row>
    <row r="1022" spans="1:27">
      <c r="A1022" s="143" t="s">
        <v>3109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3108</v>
      </c>
      <c r="H1022" s="127" t="s">
        <v>1856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1739</v>
      </c>
      <c r="AA1022" s="79"/>
    </row>
    <row r="1023" spans="1:27">
      <c r="A1023" s="142" t="s">
        <v>3107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894</v>
      </c>
      <c r="H1023" s="127" t="s">
        <v>3106</v>
      </c>
      <c r="I1023" s="127" t="s">
        <v>3092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182</v>
      </c>
      <c r="AA1023" s="79"/>
    </row>
    <row r="1024" spans="1:27">
      <c r="A1024" s="143" t="s">
        <v>3105</v>
      </c>
      <c r="B1024" s="83" t="str">
        <f t="shared" si="243"/>
        <v>ADV_KB</v>
      </c>
      <c r="C1024" s="87" t="s">
        <v>180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894</v>
      </c>
      <c r="H1024" s="127" t="s">
        <v>177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1739</v>
      </c>
      <c r="AA1024" s="79"/>
    </row>
    <row r="1025" spans="1:27">
      <c r="A1025" s="96" t="s">
        <v>3104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894</v>
      </c>
      <c r="H1025" s="127" t="s">
        <v>3102</v>
      </c>
      <c r="I1025" s="127" t="s">
        <v>2261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1739</v>
      </c>
      <c r="AA1025" s="79"/>
    </row>
    <row r="1026" spans="1:27">
      <c r="A1026" s="96" t="s">
        <v>3103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894</v>
      </c>
      <c r="H1026" s="127" t="s">
        <v>3102</v>
      </c>
      <c r="I1026" s="127" t="s">
        <v>959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1739</v>
      </c>
      <c r="AA1026" s="79"/>
    </row>
    <row r="1027" spans="1:27">
      <c r="A1027" s="149" t="s">
        <v>3101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894</v>
      </c>
      <c r="H1027" s="127" t="s">
        <v>3093</v>
      </c>
      <c r="I1027" s="127" t="s">
        <v>3100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1739</v>
      </c>
      <c r="AA1027" s="79"/>
    </row>
    <row r="1028" spans="1:27">
      <c r="A1028" s="142" t="s">
        <v>3099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894</v>
      </c>
      <c r="H1028" s="127" t="s">
        <v>3093</v>
      </c>
      <c r="I1028" s="127" t="s">
        <v>3092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1739</v>
      </c>
      <c r="AA1028" s="79"/>
    </row>
    <row r="1029" spans="1:27">
      <c r="A1029" s="142" t="s">
        <v>3098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894</v>
      </c>
      <c r="H1029" s="127" t="s">
        <v>3093</v>
      </c>
      <c r="I1029" s="127" t="s">
        <v>3092</v>
      </c>
      <c r="J1029" s="127" t="s">
        <v>3097</v>
      </c>
      <c r="K1029" s="127" t="s">
        <v>3096</v>
      </c>
      <c r="L1029" s="132" t="s">
        <v>3095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1739</v>
      </c>
      <c r="AA1029" s="79"/>
    </row>
    <row r="1030" spans="1:27">
      <c r="A1030" s="142" t="s">
        <v>3094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894</v>
      </c>
      <c r="H1030" s="127" t="s">
        <v>3093</v>
      </c>
      <c r="I1030" s="127" t="s">
        <v>3092</v>
      </c>
      <c r="J1030" s="127" t="s">
        <v>3091</v>
      </c>
      <c r="K1030" s="127" t="s">
        <v>3090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1739</v>
      </c>
      <c r="AA1030" s="79"/>
    </row>
    <row r="1031" spans="1:27">
      <c r="A1031" s="96" t="s">
        <v>3089</v>
      </c>
      <c r="B1031" s="83" t="str">
        <f t="shared" si="259"/>
        <v>ADV_JI_HARAIKATA_CD</v>
      </c>
      <c r="C1031" s="87" t="s">
        <v>1594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894</v>
      </c>
      <c r="H1031" s="127" t="s">
        <v>3088</v>
      </c>
      <c r="I1031" s="127" t="s">
        <v>3087</v>
      </c>
      <c r="J1031" s="127" t="s">
        <v>183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1739</v>
      </c>
      <c r="AA1031" s="79"/>
    </row>
    <row r="1032" spans="1:27">
      <c r="A1032" s="96" t="s">
        <v>3086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894</v>
      </c>
      <c r="H1032" s="127" t="s">
        <v>3085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1739</v>
      </c>
      <c r="AA1032" s="79"/>
    </row>
    <row r="1033" spans="1:27">
      <c r="A1033" s="96" t="s">
        <v>3084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894</v>
      </c>
      <c r="H1033" s="127" t="s">
        <v>3082</v>
      </c>
      <c r="I1033" s="127" t="s">
        <v>2261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1739</v>
      </c>
      <c r="AA1033" s="79"/>
    </row>
    <row r="1034" spans="1:27">
      <c r="A1034" s="96" t="s">
        <v>3083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894</v>
      </c>
      <c r="H1034" s="127" t="s">
        <v>3082</v>
      </c>
      <c r="I1034" s="127" t="s">
        <v>959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1739</v>
      </c>
      <c r="AA1034" s="79"/>
    </row>
    <row r="1035" spans="1:27">
      <c r="A1035" s="96" t="s">
        <v>3081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894</v>
      </c>
      <c r="H1035" s="127" t="s">
        <v>1841</v>
      </c>
      <c r="I1035" s="127" t="s">
        <v>3080</v>
      </c>
      <c r="J1035" s="127" t="s">
        <v>1737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1739</v>
      </c>
      <c r="AA1035" s="79"/>
    </row>
    <row r="1036" spans="1:27">
      <c r="A1036" s="96" t="s">
        <v>3079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894</v>
      </c>
      <c r="H1036" s="127" t="s">
        <v>349</v>
      </c>
      <c r="I1036" s="127" t="s">
        <v>3078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1739</v>
      </c>
      <c r="AA1036" s="79"/>
    </row>
    <row r="1037" spans="1:27">
      <c r="A1037" s="142" t="s">
        <v>3077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894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1739</v>
      </c>
      <c r="AA1037" s="79"/>
    </row>
    <row r="1038" spans="1:27">
      <c r="A1038" s="135" t="s">
        <v>3063</v>
      </c>
      <c r="B1038" s="83" t="str">
        <f t="shared" si="259"/>
        <v>ADV_P</v>
      </c>
      <c r="C1038" s="87" t="s">
        <v>753</v>
      </c>
      <c r="D1038" s="82" t="str">
        <f t="shared" si="256"/>
        <v>Number</v>
      </c>
      <c r="E1038" s="82">
        <f t="shared" si="257"/>
        <v>11</v>
      </c>
      <c r="F1038" s="82" t="str">
        <f t="shared" si="258"/>
        <v/>
      </c>
      <c r="G1038" s="128" t="s">
        <v>894</v>
      </c>
      <c r="H1038" s="127" t="s">
        <v>391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1739</v>
      </c>
      <c r="AA1038" s="79"/>
    </row>
    <row r="1039" spans="1:27">
      <c r="A1039" s="135" t="s">
        <v>3076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894</v>
      </c>
      <c r="H1039" s="127" t="s">
        <v>391</v>
      </c>
      <c r="I1039" s="127" t="s">
        <v>2513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1739</v>
      </c>
      <c r="AA1039" s="79"/>
    </row>
    <row r="1040" spans="1:27">
      <c r="A1040" s="133" t="s">
        <v>3075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894</v>
      </c>
      <c r="H1040" s="127" t="s">
        <v>2322</v>
      </c>
      <c r="I1040" s="127" t="s">
        <v>391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1739</v>
      </c>
      <c r="AA1040" s="79"/>
    </row>
    <row r="1041" spans="1:27">
      <c r="A1041" s="96" t="s">
        <v>3074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894</v>
      </c>
      <c r="H1041" s="127" t="s">
        <v>3073</v>
      </c>
      <c r="I1041" s="127" t="s">
        <v>3072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1739</v>
      </c>
      <c r="AA1041" s="79"/>
    </row>
    <row r="1042" spans="1:27">
      <c r="A1042" s="137" t="s">
        <v>3071</v>
      </c>
      <c r="B1042" s="83" t="str">
        <f t="shared" si="259"/>
        <v>ZENKI_TANKI_FLG</v>
      </c>
      <c r="C1042" s="87" t="s">
        <v>1728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1231</v>
      </c>
      <c r="H1042" s="127" t="s">
        <v>3070</v>
      </c>
      <c r="I1042" s="127" t="s">
        <v>465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1739</v>
      </c>
      <c r="AA1042" s="79"/>
    </row>
    <row r="1043" spans="1:27">
      <c r="A1043" s="135" t="s">
        <v>3069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3067</v>
      </c>
      <c r="H1043" s="127" t="s">
        <v>391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1739</v>
      </c>
      <c r="AA1043" s="79"/>
    </row>
    <row r="1044" spans="1:27">
      <c r="A1044" s="135" t="s">
        <v>3068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3067</v>
      </c>
      <c r="H1044" s="127" t="s">
        <v>391</v>
      </c>
      <c r="I1044" s="127" t="s">
        <v>2513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1739</v>
      </c>
      <c r="AA1044" s="79"/>
    </row>
    <row r="1045" spans="1:27">
      <c r="A1045" s="135" t="s">
        <v>3066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3061</v>
      </c>
      <c r="H1045" s="127" t="s">
        <v>1315</v>
      </c>
      <c r="I1045" s="127" t="s">
        <v>391</v>
      </c>
      <c r="J1045" s="127" t="s">
        <v>1314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1739</v>
      </c>
      <c r="AA1045" s="79"/>
    </row>
    <row r="1046" spans="1:27">
      <c r="A1046" s="135" t="s">
        <v>3065</v>
      </c>
      <c r="B1046" s="83" t="str">
        <f t="shared" si="259"/>
        <v>SOGO_SEKKEI_TAISHO_FLG</v>
      </c>
      <c r="C1046" s="87" t="s">
        <v>1728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3061</v>
      </c>
      <c r="H1046" s="127" t="s">
        <v>832</v>
      </c>
      <c r="I1046" s="127" t="s">
        <v>2516</v>
      </c>
      <c r="J1046" s="127" t="s">
        <v>465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1739</v>
      </c>
      <c r="AA1046" s="79"/>
    </row>
    <row r="1047" spans="1:27">
      <c r="A1047" s="135" t="s">
        <v>3064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3061</v>
      </c>
      <c r="H1047" s="127" t="s">
        <v>3063</v>
      </c>
      <c r="I1047" s="127" t="s">
        <v>1314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1739</v>
      </c>
      <c r="AA1047" s="79"/>
    </row>
    <row r="1048" spans="1:27">
      <c r="A1048" s="135" t="s">
        <v>3062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3061</v>
      </c>
      <c r="H1048" s="127" t="s">
        <v>391</v>
      </c>
      <c r="I1048" s="127" t="s">
        <v>1314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1739</v>
      </c>
      <c r="AA1048" s="79"/>
    </row>
    <row r="1049" spans="1:27">
      <c r="A1049" s="138" t="s">
        <v>3060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3058</v>
      </c>
      <c r="H1049" s="127" t="s">
        <v>205</v>
      </c>
      <c r="I1049" s="127" t="s">
        <v>864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1739</v>
      </c>
      <c r="AA1049" s="79"/>
    </row>
    <row r="1050" spans="1:27">
      <c r="A1050" s="138" t="s">
        <v>3059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3058</v>
      </c>
      <c r="H1050" s="127" t="s">
        <v>3054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1739</v>
      </c>
      <c r="AA1050" s="79"/>
    </row>
    <row r="1051" spans="1:27">
      <c r="A1051" s="138" t="s">
        <v>3057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3055</v>
      </c>
      <c r="H1051" s="127" t="s">
        <v>205</v>
      </c>
      <c r="I1051" s="127" t="s">
        <v>864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1739</v>
      </c>
      <c r="AA1051" s="79"/>
    </row>
    <row r="1052" spans="1:27">
      <c r="A1052" s="138" t="s">
        <v>3056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3055</v>
      </c>
      <c r="H1052" s="127" t="s">
        <v>3054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1739</v>
      </c>
      <c r="AA1052" s="79"/>
    </row>
    <row r="1053" spans="1:27">
      <c r="A1053" s="96" t="s">
        <v>3053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3050</v>
      </c>
      <c r="H1053" s="127" t="s">
        <v>3052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1739</v>
      </c>
      <c r="AA1053" s="79"/>
    </row>
    <row r="1054" spans="1:27">
      <c r="A1054" s="96" t="s">
        <v>3051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3050</v>
      </c>
      <c r="H1054" s="127" t="s">
        <v>2719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1739</v>
      </c>
      <c r="AA1054" s="79"/>
    </row>
    <row r="1055" spans="1:27">
      <c r="A1055" s="135" t="s">
        <v>3049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3048</v>
      </c>
      <c r="H1055" s="127" t="s">
        <v>849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1739</v>
      </c>
      <c r="AA1055" s="79"/>
    </row>
    <row r="1056" spans="1:27">
      <c r="A1056" s="135" t="s">
        <v>3047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837</v>
      </c>
      <c r="H1056" s="127" t="s">
        <v>836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1739</v>
      </c>
      <c r="AA1056" s="79"/>
    </row>
    <row r="1057" spans="1:27">
      <c r="A1057" s="135" t="s">
        <v>3046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837</v>
      </c>
      <c r="H1057" s="127" t="s">
        <v>836</v>
      </c>
      <c r="I1057" s="127" t="s">
        <v>1314</v>
      </c>
      <c r="J1057" s="127" t="s">
        <v>391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1739</v>
      </c>
      <c r="AA1057" s="79"/>
    </row>
    <row r="1058" spans="1:27">
      <c r="A1058" s="135" t="s">
        <v>3045</v>
      </c>
      <c r="B1058" s="83" t="str">
        <f t="shared" si="259"/>
        <v>SOMPO_FLG</v>
      </c>
      <c r="C1058" s="87" t="s">
        <v>1728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837</v>
      </c>
      <c r="H1058" s="127" t="s">
        <v>465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1739</v>
      </c>
      <c r="AA1058" s="79"/>
    </row>
    <row r="1059" spans="1:27">
      <c r="A1059" s="135" t="s">
        <v>3044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837</v>
      </c>
      <c r="H1059" s="127" t="s">
        <v>955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1739</v>
      </c>
      <c r="AA1059" s="79"/>
    </row>
    <row r="1060" spans="1:27">
      <c r="A1060" s="135" t="s">
        <v>3043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837</v>
      </c>
      <c r="H1060" s="127" t="s">
        <v>3041</v>
      </c>
      <c r="I1060" s="127" t="s">
        <v>190</v>
      </c>
      <c r="J1060" s="127" t="s">
        <v>757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1739</v>
      </c>
      <c r="AA1060" s="79"/>
    </row>
    <row r="1061" spans="1:27">
      <c r="A1061" s="135" t="s">
        <v>3042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837</v>
      </c>
      <c r="H1061" s="127" t="s">
        <v>3041</v>
      </c>
      <c r="I1061" s="127" t="s">
        <v>190</v>
      </c>
      <c r="J1061" s="127" t="s">
        <v>760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1739</v>
      </c>
      <c r="AA1061" s="79"/>
    </row>
    <row r="1062" spans="1:27">
      <c r="A1062" s="135" t="s">
        <v>3040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837</v>
      </c>
      <c r="H1062" s="127" t="s">
        <v>3037</v>
      </c>
      <c r="I1062" s="127" t="s">
        <v>190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1739</v>
      </c>
      <c r="AA1062" s="79"/>
    </row>
    <row r="1063" spans="1:27">
      <c r="A1063" s="135" t="s">
        <v>3039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837</v>
      </c>
      <c r="H1063" s="127" t="s">
        <v>3037</v>
      </c>
      <c r="I1063" s="127" t="s">
        <v>190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1739</v>
      </c>
      <c r="AA1063" s="79"/>
    </row>
    <row r="1064" spans="1:27">
      <c r="A1064" s="135" t="s">
        <v>3038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837</v>
      </c>
      <c r="H1064" s="127" t="s">
        <v>3037</v>
      </c>
      <c r="I1064" s="127" t="s">
        <v>190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1739</v>
      </c>
      <c r="AA1064" s="79"/>
    </row>
    <row r="1065" spans="1:27">
      <c r="A1065" s="135" t="s">
        <v>3036</v>
      </c>
      <c r="B1065" s="83" t="str">
        <f t="shared" si="259"/>
        <v>SOMPO_TSUIN_S_NICHIGAKU</v>
      </c>
      <c r="C1065" s="87" t="s">
        <v>753</v>
      </c>
      <c r="D1065" s="82" t="str">
        <f t="shared" si="272"/>
        <v>Number</v>
      </c>
      <c r="E1065" s="82">
        <f t="shared" si="273"/>
        <v>11</v>
      </c>
      <c r="F1065" s="82" t="str">
        <f t="shared" si="274"/>
        <v/>
      </c>
      <c r="G1065" s="128" t="s">
        <v>837</v>
      </c>
      <c r="H1065" s="127" t="s">
        <v>3035</v>
      </c>
      <c r="I1065" s="127" t="s">
        <v>190</v>
      </c>
      <c r="J1065" s="127" t="s">
        <v>2532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1739</v>
      </c>
      <c r="AA1065" s="79"/>
    </row>
    <row r="1066" spans="1:27">
      <c r="A1066" s="135" t="s">
        <v>3034</v>
      </c>
      <c r="B1066" s="83" t="str">
        <f t="shared" si="259"/>
        <v>SOMPO_NYUIN_S_NICHIGAKU</v>
      </c>
      <c r="C1066" s="87" t="s">
        <v>753</v>
      </c>
      <c r="D1066" s="82" t="str">
        <f t="shared" si="272"/>
        <v>Number</v>
      </c>
      <c r="E1066" s="82">
        <f t="shared" si="273"/>
        <v>11</v>
      </c>
      <c r="F1066" s="82" t="str">
        <f t="shared" si="274"/>
        <v/>
      </c>
      <c r="G1066" s="128" t="s">
        <v>837</v>
      </c>
      <c r="H1066" s="127" t="s">
        <v>2533</v>
      </c>
      <c r="I1066" s="127" t="s">
        <v>190</v>
      </c>
      <c r="J1066" s="127" t="s">
        <v>2532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1739</v>
      </c>
      <c r="AA1066" s="79"/>
    </row>
    <row r="1067" spans="1:27">
      <c r="A1067" s="135" t="s">
        <v>3033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837</v>
      </c>
      <c r="H1067" s="127" t="s">
        <v>391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1739</v>
      </c>
      <c r="AA1067" s="79"/>
    </row>
    <row r="1068" spans="1:27">
      <c r="A1068" s="141" t="s">
        <v>3032</v>
      </c>
      <c r="B1068" s="83" t="str">
        <f t="shared" si="259"/>
        <v>TASHA_PLCY_FLG</v>
      </c>
      <c r="C1068" s="87" t="s">
        <v>1728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3030</v>
      </c>
      <c r="H1068" s="127" t="s">
        <v>298</v>
      </c>
      <c r="I1068" s="127" t="s">
        <v>465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1739</v>
      </c>
      <c r="AA1068" s="79"/>
    </row>
    <row r="1069" spans="1:27">
      <c r="A1069" s="141" t="s">
        <v>3031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3030</v>
      </c>
      <c r="H1069" s="127" t="s">
        <v>2828</v>
      </c>
      <c r="I1069" s="127" t="s">
        <v>360</v>
      </c>
      <c r="J1069" s="127" t="s">
        <v>2503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1739</v>
      </c>
      <c r="AA1069" s="79"/>
    </row>
    <row r="1070" spans="1:27">
      <c r="A1070" s="138" t="s">
        <v>3029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3027</v>
      </c>
      <c r="H1070" s="127" t="s">
        <v>207</v>
      </c>
      <c r="I1070" s="127" t="s">
        <v>278</v>
      </c>
      <c r="J1070" s="127" t="s">
        <v>2453</v>
      </c>
      <c r="K1070" s="127" t="s">
        <v>2452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1739</v>
      </c>
      <c r="AA1070" s="79"/>
    </row>
    <row r="1071" spans="1:27">
      <c r="A1071" s="138" t="s">
        <v>3028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3027</v>
      </c>
      <c r="H1071" s="127" t="s">
        <v>3026</v>
      </c>
      <c r="I1071" s="127" t="s">
        <v>2453</v>
      </c>
      <c r="J1071" s="127" t="s">
        <v>3025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1739</v>
      </c>
      <c r="AA1071" s="79"/>
    </row>
    <row r="1072" spans="1:27">
      <c r="A1072" s="143" t="s">
        <v>3024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2516</v>
      </c>
      <c r="H1072" s="127" t="s">
        <v>3023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379</v>
      </c>
      <c r="AA1072" s="79"/>
    </row>
    <row r="1073" spans="1:27">
      <c r="A1073" s="96" t="s">
        <v>3022</v>
      </c>
      <c r="B1073" s="83" t="str">
        <f t="shared" si="259"/>
        <v>TAISEN_GENDO</v>
      </c>
      <c r="C1073" s="87" t="s">
        <v>2465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2459</v>
      </c>
      <c r="H1073" s="127" t="s">
        <v>1322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1739</v>
      </c>
      <c r="AA1073" s="79"/>
    </row>
    <row r="1074" spans="1:27">
      <c r="A1074" s="137" t="s">
        <v>3021</v>
      </c>
      <c r="B1074" s="83" t="str">
        <f t="shared" si="259"/>
        <v>TAISEN_GENDO_FLG</v>
      </c>
      <c r="C1074" s="87" t="s">
        <v>1728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2459</v>
      </c>
      <c r="H1074" s="127" t="s">
        <v>1322</v>
      </c>
      <c r="I1074" s="127" t="s">
        <v>465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1739</v>
      </c>
      <c r="AA1074" s="79"/>
    </row>
    <row r="1075" spans="1:27">
      <c r="A1075" s="96" t="s">
        <v>3020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2292</v>
      </c>
      <c r="H1075" s="127" t="s">
        <v>656</v>
      </c>
      <c r="I1075" s="127" t="s">
        <v>341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1739</v>
      </c>
      <c r="AA1075" s="79"/>
    </row>
    <row r="1076" spans="1:27">
      <c r="A1076" s="96" t="s">
        <v>3019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2292</v>
      </c>
      <c r="H1076" s="127" t="s">
        <v>444</v>
      </c>
      <c r="I1076" s="127" t="s">
        <v>2480</v>
      </c>
      <c r="J1076" s="127" t="s">
        <v>843</v>
      </c>
      <c r="K1076" s="127" t="s">
        <v>341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1739</v>
      </c>
      <c r="AA1076" s="79"/>
    </row>
    <row r="1077" spans="1:27">
      <c r="A1077" s="96" t="s">
        <v>3018</v>
      </c>
      <c r="B1077" s="83" t="str">
        <f t="shared" si="259"/>
        <v>TAIKYUZAI_SHIKIN_KEISAN_FLG</v>
      </c>
      <c r="C1077" s="87" t="s">
        <v>1728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2292</v>
      </c>
      <c r="H1077" s="127" t="s">
        <v>444</v>
      </c>
      <c r="I1077" s="127" t="s">
        <v>1292</v>
      </c>
      <c r="J1077" s="127" t="s">
        <v>465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1739</v>
      </c>
      <c r="AA1077" s="79"/>
    </row>
    <row r="1078" spans="1:27">
      <c r="A1078" s="96" t="s">
        <v>3017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2292</v>
      </c>
      <c r="H1078" s="127" t="s">
        <v>3016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1739</v>
      </c>
      <c r="AA1078" s="79"/>
    </row>
    <row r="1079" spans="1:27">
      <c r="A1079" s="96" t="s">
        <v>3015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2292</v>
      </c>
      <c r="H1079" s="127" t="s">
        <v>2572</v>
      </c>
      <c r="I1079" s="127" t="s">
        <v>1314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1739</v>
      </c>
      <c r="AA1079" s="79"/>
    </row>
    <row r="1080" spans="1:27">
      <c r="A1080" s="96" t="s">
        <v>3014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2292</v>
      </c>
      <c r="H1080" s="127" t="s">
        <v>728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1739</v>
      </c>
      <c r="AA1080" s="79"/>
    </row>
    <row r="1081" spans="1:27">
      <c r="A1081" s="96" t="s">
        <v>3013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3012</v>
      </c>
      <c r="H1081" s="127" t="s">
        <v>3011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1739</v>
      </c>
      <c r="AA1081" s="79"/>
    </row>
    <row r="1082" spans="1:27">
      <c r="A1082" s="144" t="s">
        <v>3010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431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1739</v>
      </c>
      <c r="AA1082" s="79"/>
    </row>
    <row r="1083" spans="1:27">
      <c r="A1083" s="164" t="s">
        <v>3009</v>
      </c>
      <c r="B1083" s="83" t="str">
        <f t="shared" si="259"/>
        <v>DAIHYO_CUST_NAME</v>
      </c>
      <c r="C1083" s="87" t="s">
        <v>3008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3007</v>
      </c>
      <c r="H1083" s="127" t="s">
        <v>3006</v>
      </c>
      <c r="I1083" s="127" t="s">
        <v>2139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1739</v>
      </c>
      <c r="AA1083" s="79"/>
    </row>
    <row r="1084" spans="1:27">
      <c r="A1084" s="141" t="s">
        <v>3005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3004</v>
      </c>
      <c r="H1084" s="127" t="s">
        <v>3003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1739</v>
      </c>
      <c r="AA1084" s="79"/>
    </row>
    <row r="1085" spans="1:27">
      <c r="A1085" s="96" t="s">
        <v>3002</v>
      </c>
      <c r="B1085" s="83" t="str">
        <f t="shared" si="259"/>
        <v>AGENCY_ZIP_CD_1</v>
      </c>
      <c r="C1085" s="87" t="s">
        <v>2167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2994</v>
      </c>
      <c r="H1085" s="127" t="s">
        <v>2430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1739</v>
      </c>
      <c r="AA1085" s="79"/>
    </row>
    <row r="1086" spans="1:27">
      <c r="A1086" s="96" t="s">
        <v>3001</v>
      </c>
      <c r="B1086" s="83" t="str">
        <f t="shared" si="259"/>
        <v>AGENCY_ADDR_1</v>
      </c>
      <c r="C1086" s="87" t="s">
        <v>2999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2994</v>
      </c>
      <c r="H1086" s="127" t="s">
        <v>1844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1739</v>
      </c>
      <c r="AA1086" s="79"/>
    </row>
    <row r="1087" spans="1:27">
      <c r="A1087" s="96" t="s">
        <v>3000</v>
      </c>
      <c r="B1087" s="83" t="str">
        <f t="shared" si="259"/>
        <v>AGENCY_ADDR_2</v>
      </c>
      <c r="C1087" s="87" t="s">
        <v>2999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2994</v>
      </c>
      <c r="H1087" s="127" t="s">
        <v>1844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1739</v>
      </c>
      <c r="AA1087" s="79"/>
    </row>
    <row r="1088" spans="1:27">
      <c r="A1088" s="96" t="s">
        <v>2998</v>
      </c>
      <c r="B1088" s="83" t="str">
        <f t="shared" si="259"/>
        <v>AGENCY_TEL_NO_1</v>
      </c>
      <c r="C1088" s="87" t="s">
        <v>1676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2994</v>
      </c>
      <c r="H1088" s="127" t="s">
        <v>2151</v>
      </c>
      <c r="I1088" s="127" t="s">
        <v>1849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1739</v>
      </c>
      <c r="AA1088" s="79"/>
    </row>
    <row r="1089" spans="1:27">
      <c r="A1089" s="96" t="s">
        <v>2997</v>
      </c>
      <c r="B1089" s="83" t="str">
        <f t="shared" si="259"/>
        <v>AGENCY_TEL_NO_2</v>
      </c>
      <c r="C1089" s="87" t="s">
        <v>1674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2994</v>
      </c>
      <c r="H1089" s="127" t="s">
        <v>2151</v>
      </c>
      <c r="I1089" s="127" t="s">
        <v>1849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1739</v>
      </c>
      <c r="AA1089" s="79"/>
    </row>
    <row r="1090" spans="1:27">
      <c r="A1090" s="96" t="s">
        <v>2996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1672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2994</v>
      </c>
      <c r="H1090" s="127" t="s">
        <v>2151</v>
      </c>
      <c r="I1090" s="127" t="s">
        <v>1849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1739</v>
      </c>
      <c r="AA1090" s="79"/>
    </row>
    <row r="1091" spans="1:27">
      <c r="A1091" s="96" t="s">
        <v>2995</v>
      </c>
      <c r="B1091" s="83" t="str">
        <f t="shared" si="275"/>
        <v>AGENCY_ZIP_CD_2</v>
      </c>
      <c r="C1091" s="87" t="s">
        <v>2165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2994</v>
      </c>
      <c r="H1091" s="127" t="s">
        <v>2430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1739</v>
      </c>
      <c r="AA1091" s="79"/>
    </row>
    <row r="1092" spans="1:27">
      <c r="A1092" s="96" t="s">
        <v>2993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2955</v>
      </c>
      <c r="H1092" s="127" t="s">
        <v>831</v>
      </c>
      <c r="I1092" s="127" t="s">
        <v>183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1739</v>
      </c>
      <c r="AA1092" s="79"/>
    </row>
    <row r="1093" spans="1:27">
      <c r="A1093" s="96" t="s">
        <v>2992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2955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1739</v>
      </c>
      <c r="AA1093" s="79"/>
    </row>
    <row r="1094" spans="1:27">
      <c r="A1094" s="96" t="s">
        <v>2991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2982</v>
      </c>
      <c r="H1094" s="127" t="s">
        <v>672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1739</v>
      </c>
      <c r="AA1094" s="79"/>
    </row>
    <row r="1095" spans="1:27">
      <c r="A1095" s="96" t="s">
        <v>2990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2982</v>
      </c>
      <c r="H1095" s="127" t="s">
        <v>672</v>
      </c>
      <c r="I1095" s="127" t="s">
        <v>2455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1739</v>
      </c>
      <c r="AA1095" s="79"/>
    </row>
    <row r="1096" spans="1:27">
      <c r="A1096" s="96" t="s">
        <v>2989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2982</v>
      </c>
      <c r="H1096" s="127" t="s">
        <v>2962</v>
      </c>
      <c r="I1096" s="127" t="s">
        <v>177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1739</v>
      </c>
      <c r="AA1096" s="79"/>
    </row>
    <row r="1097" spans="1:27">
      <c r="A1097" s="96" t="s">
        <v>2988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2982</v>
      </c>
      <c r="H1097" s="127" t="s">
        <v>2960</v>
      </c>
      <c r="I1097" s="127" t="s">
        <v>2959</v>
      </c>
      <c r="J1097" s="127" t="s">
        <v>177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1739</v>
      </c>
      <c r="AA1097" s="79"/>
    </row>
    <row r="1098" spans="1:27">
      <c r="A1098" s="96" t="s">
        <v>2987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2982</v>
      </c>
      <c r="H1098" s="127" t="s">
        <v>2957</v>
      </c>
      <c r="I1098" s="127" t="s">
        <v>177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1739</v>
      </c>
      <c r="AA1098" s="79"/>
    </row>
    <row r="1099" spans="1:27">
      <c r="A1099" s="96" t="s">
        <v>2986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2982</v>
      </c>
      <c r="H1099" s="127" t="s">
        <v>2955</v>
      </c>
      <c r="I1099" s="127" t="s">
        <v>177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1739</v>
      </c>
      <c r="AA1099" s="79"/>
    </row>
    <row r="1100" spans="1:27">
      <c r="A1100" s="96" t="s">
        <v>2985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2982</v>
      </c>
      <c r="H1100" s="127" t="s">
        <v>2926</v>
      </c>
      <c r="I1100" s="127" t="s">
        <v>177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1739</v>
      </c>
      <c r="AA1100" s="79"/>
    </row>
    <row r="1101" spans="1:27">
      <c r="A1101" s="96" t="s">
        <v>2984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2982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1739</v>
      </c>
      <c r="AA1101" s="79"/>
    </row>
    <row r="1102" spans="1:27">
      <c r="A1102" s="96" t="s">
        <v>2983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2982</v>
      </c>
      <c r="H1102" s="127" t="s">
        <v>2247</v>
      </c>
      <c r="I1102" s="127" t="s">
        <v>177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182</v>
      </c>
      <c r="AA1102" s="79"/>
    </row>
    <row r="1103" spans="1:27">
      <c r="A1103" s="163" t="s">
        <v>2981</v>
      </c>
      <c r="B1103" s="83" t="str">
        <f t="shared" si="275"/>
        <v>FIRST_APPLY_CHART</v>
      </c>
      <c r="C1103" s="87" t="s">
        <v>180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2980</v>
      </c>
      <c r="H1103" s="127" t="s">
        <v>2967</v>
      </c>
      <c r="I1103" s="127" t="s">
        <v>2966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1739</v>
      </c>
      <c r="AA1103" s="79"/>
    </row>
    <row r="1104" spans="1:27">
      <c r="A1104" s="96" t="s">
        <v>2979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2970</v>
      </c>
      <c r="H1104" s="127" t="s">
        <v>672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1739</v>
      </c>
      <c r="AA1104" s="79"/>
    </row>
    <row r="1105" spans="1:27">
      <c r="A1105" s="96" t="s">
        <v>2978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2970</v>
      </c>
      <c r="H1105" s="127" t="s">
        <v>672</v>
      </c>
      <c r="I1105" s="127" t="s">
        <v>2455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1739</v>
      </c>
      <c r="AA1105" s="79"/>
    </row>
    <row r="1106" spans="1:27">
      <c r="A1106" s="96" t="s">
        <v>2977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2970</v>
      </c>
      <c r="H1106" s="127" t="s">
        <v>2962</v>
      </c>
      <c r="I1106" s="127" t="s">
        <v>177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1739</v>
      </c>
      <c r="AA1106" s="79"/>
    </row>
    <row r="1107" spans="1:27">
      <c r="A1107" s="96" t="s">
        <v>2976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2970</v>
      </c>
      <c r="H1107" s="127" t="s">
        <v>2960</v>
      </c>
      <c r="I1107" s="127" t="s">
        <v>2959</v>
      </c>
      <c r="J1107" s="127" t="s">
        <v>177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1739</v>
      </c>
      <c r="AA1107" s="79"/>
    </row>
    <row r="1108" spans="1:27">
      <c r="A1108" s="96" t="s">
        <v>2975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2970</v>
      </c>
      <c r="H1108" s="127" t="s">
        <v>2957</v>
      </c>
      <c r="I1108" s="127" t="s">
        <v>177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1739</v>
      </c>
      <c r="AA1108" s="79"/>
    </row>
    <row r="1109" spans="1:27">
      <c r="A1109" s="96" t="s">
        <v>2974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2970</v>
      </c>
      <c r="H1109" s="127" t="s">
        <v>2955</v>
      </c>
      <c r="I1109" s="127" t="s">
        <v>177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1739</v>
      </c>
      <c r="AA1109" s="79"/>
    </row>
    <row r="1110" spans="1:27">
      <c r="A1110" s="96" t="s">
        <v>2973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2970</v>
      </c>
      <c r="H1110" s="127" t="s">
        <v>2926</v>
      </c>
      <c r="I1110" s="127" t="s">
        <v>177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1739</v>
      </c>
      <c r="AA1110" s="79"/>
    </row>
    <row r="1111" spans="1:27">
      <c r="A1111" s="96" t="s">
        <v>2972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2970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1739</v>
      </c>
      <c r="AA1111" s="79"/>
    </row>
    <row r="1112" spans="1:27">
      <c r="A1112" s="96" t="s">
        <v>2971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2970</v>
      </c>
      <c r="H1112" s="127" t="s">
        <v>2247</v>
      </c>
      <c r="I1112" s="127" t="s">
        <v>177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1739</v>
      </c>
      <c r="AA1112" s="79"/>
    </row>
    <row r="1113" spans="1:27">
      <c r="A1113" s="163" t="s">
        <v>2969</v>
      </c>
      <c r="B1113" s="83" t="str">
        <f t="shared" si="275"/>
        <v>THIRD_APPLY_CHART</v>
      </c>
      <c r="C1113" s="87" t="s">
        <v>180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2968</v>
      </c>
      <c r="H1113" s="127" t="s">
        <v>2967</v>
      </c>
      <c r="I1113" s="127" t="s">
        <v>2966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1739</v>
      </c>
      <c r="AA1113" s="79"/>
    </row>
    <row r="1114" spans="1:27">
      <c r="A1114" s="96" t="s">
        <v>2965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2951</v>
      </c>
      <c r="H1114" s="127" t="s">
        <v>672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1739</v>
      </c>
      <c r="AA1114" s="79"/>
    </row>
    <row r="1115" spans="1:27">
      <c r="A1115" s="96" t="s">
        <v>2964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2951</v>
      </c>
      <c r="H1115" s="127" t="s">
        <v>672</v>
      </c>
      <c r="I1115" s="127" t="s">
        <v>2455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1739</v>
      </c>
      <c r="AA1115" s="79"/>
    </row>
    <row r="1116" spans="1:27">
      <c r="A1116" s="96" t="s">
        <v>2963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2951</v>
      </c>
      <c r="H1116" s="127" t="s">
        <v>2962</v>
      </c>
      <c r="I1116" s="127" t="s">
        <v>177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1739</v>
      </c>
      <c r="AA1116" s="79"/>
    </row>
    <row r="1117" spans="1:27">
      <c r="A1117" s="96" t="s">
        <v>2961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2951</v>
      </c>
      <c r="H1117" s="127" t="s">
        <v>2960</v>
      </c>
      <c r="I1117" s="127" t="s">
        <v>2959</v>
      </c>
      <c r="J1117" s="127" t="s">
        <v>177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1739</v>
      </c>
      <c r="AA1117" s="79"/>
    </row>
    <row r="1118" spans="1:27">
      <c r="A1118" s="96" t="s">
        <v>2958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2951</v>
      </c>
      <c r="H1118" s="127" t="s">
        <v>2957</v>
      </c>
      <c r="I1118" s="127" t="s">
        <v>177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1739</v>
      </c>
      <c r="AA1118" s="79"/>
    </row>
    <row r="1119" spans="1:27">
      <c r="A1119" s="96" t="s">
        <v>2956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2951</v>
      </c>
      <c r="H1119" s="127" t="s">
        <v>2955</v>
      </c>
      <c r="I1119" s="127" t="s">
        <v>177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1739</v>
      </c>
      <c r="AA1119" s="79"/>
    </row>
    <row r="1120" spans="1:27">
      <c r="A1120" s="96" t="s">
        <v>2954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2951</v>
      </c>
      <c r="H1120" s="127" t="s">
        <v>2926</v>
      </c>
      <c r="I1120" s="127" t="s">
        <v>177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1739</v>
      </c>
      <c r="AA1120" s="79"/>
    </row>
    <row r="1121" spans="1:27">
      <c r="A1121" s="96" t="s">
        <v>2953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2951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1739</v>
      </c>
      <c r="AA1121" s="79"/>
    </row>
    <row r="1122" spans="1:27">
      <c r="A1122" s="96" t="s">
        <v>2952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2951</v>
      </c>
      <c r="H1122" s="127" t="s">
        <v>2247</v>
      </c>
      <c r="I1122" s="127" t="s">
        <v>177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1739</v>
      </c>
      <c r="AA1122" s="79"/>
    </row>
    <row r="1123" spans="1:27">
      <c r="A1123" s="88" t="s">
        <v>2950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2949</v>
      </c>
      <c r="H1123" s="127" t="s">
        <v>2948</v>
      </c>
      <c r="I1123" s="127" t="s">
        <v>177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182</v>
      </c>
      <c r="AA1123" s="79"/>
    </row>
    <row r="1124" spans="1:27">
      <c r="A1124" s="143" t="s">
        <v>2947</v>
      </c>
      <c r="B1124" s="83" t="str">
        <f t="shared" si="275"/>
        <v>GROUP_WARIBIKIRYO_RT_CD</v>
      </c>
      <c r="C1124" s="87" t="s">
        <v>180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2946</v>
      </c>
      <c r="H1124" s="127" t="s">
        <v>2945</v>
      </c>
      <c r="I1124" s="127" t="s">
        <v>183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1739</v>
      </c>
      <c r="AA1124" s="79"/>
    </row>
    <row r="1125" spans="1:27">
      <c r="A1125" s="96" t="s">
        <v>2944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2932</v>
      </c>
      <c r="H1125" s="127" t="s">
        <v>2942</v>
      </c>
      <c r="I1125" s="127" t="s">
        <v>2938</v>
      </c>
      <c r="J1125" s="127" t="s">
        <v>2937</v>
      </c>
      <c r="K1125" s="127" t="s">
        <v>2618</v>
      </c>
      <c r="L1125" s="132" t="s">
        <v>2620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1739</v>
      </c>
      <c r="AA1125" s="79"/>
    </row>
    <row r="1126" spans="1:27">
      <c r="A1126" s="96" t="s">
        <v>2943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2932</v>
      </c>
      <c r="H1126" s="127" t="s">
        <v>2942</v>
      </c>
      <c r="I1126" s="127" t="s">
        <v>2938</v>
      </c>
      <c r="J1126" s="127" t="s">
        <v>2937</v>
      </c>
      <c r="K1126" s="127" t="s">
        <v>2618</v>
      </c>
      <c r="L1126" s="132" t="s">
        <v>2617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1739</v>
      </c>
      <c r="AA1126" s="79"/>
    </row>
    <row r="1127" spans="1:27">
      <c r="A1127" s="96" t="s">
        <v>2941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2932</v>
      </c>
      <c r="H1127" s="127" t="s">
        <v>2939</v>
      </c>
      <c r="I1127" s="127" t="s">
        <v>2938</v>
      </c>
      <c r="J1127" s="127" t="s">
        <v>2937</v>
      </c>
      <c r="K1127" s="127" t="s">
        <v>2618</v>
      </c>
      <c r="L1127" s="132" t="s">
        <v>2620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1739</v>
      </c>
      <c r="AA1127" s="79"/>
    </row>
    <row r="1128" spans="1:27">
      <c r="A1128" s="96" t="s">
        <v>2940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2932</v>
      </c>
      <c r="H1128" s="127" t="s">
        <v>2939</v>
      </c>
      <c r="I1128" s="127" t="s">
        <v>2938</v>
      </c>
      <c r="J1128" s="127" t="s">
        <v>2937</v>
      </c>
      <c r="K1128" s="127" t="s">
        <v>2618</v>
      </c>
      <c r="L1128" s="132" t="s">
        <v>2617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1739</v>
      </c>
      <c r="AA1128" s="79"/>
    </row>
    <row r="1129" spans="1:27">
      <c r="A1129" s="138" t="s">
        <v>2936</v>
      </c>
      <c r="B1129" s="83" t="str">
        <f t="shared" si="275"/>
        <v>GROUP_CUST_NO</v>
      </c>
      <c r="C1129" s="87" t="s">
        <v>2935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2932</v>
      </c>
      <c r="H1129" s="127" t="s">
        <v>2669</v>
      </c>
      <c r="I1129" s="127" t="s">
        <v>1849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1739</v>
      </c>
      <c r="AA1129" s="79"/>
    </row>
    <row r="1130" spans="1:27">
      <c r="A1130" s="96" t="s">
        <v>2934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2932</v>
      </c>
      <c r="H1130" s="127" t="s">
        <v>355</v>
      </c>
      <c r="I1130" s="127" t="s">
        <v>2618</v>
      </c>
      <c r="J1130" s="127" t="s">
        <v>2620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1739</v>
      </c>
      <c r="AA1130" s="79"/>
    </row>
    <row r="1131" spans="1:27">
      <c r="A1131" s="96" t="s">
        <v>2933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2932</v>
      </c>
      <c r="H1131" s="127" t="s">
        <v>355</v>
      </c>
      <c r="I1131" s="127" t="s">
        <v>2618</v>
      </c>
      <c r="J1131" s="127" t="s">
        <v>2617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1739</v>
      </c>
      <c r="AA1131" s="79"/>
    </row>
    <row r="1132" spans="1:27">
      <c r="A1132" s="162" t="s">
        <v>2931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2930</v>
      </c>
      <c r="H1132" s="127" t="s">
        <v>2929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1739</v>
      </c>
      <c r="AA1132" s="79"/>
    </row>
    <row r="1133" spans="1:27">
      <c r="A1133" s="96" t="s">
        <v>2928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2926</v>
      </c>
      <c r="H1133" s="127" t="s">
        <v>831</v>
      </c>
      <c r="I1133" s="127" t="s">
        <v>183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1739</v>
      </c>
      <c r="AA1133" s="79"/>
    </row>
    <row r="1134" spans="1:27">
      <c r="A1134" s="96" t="s">
        <v>2927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2926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1739</v>
      </c>
      <c r="AA1134" s="79"/>
    </row>
    <row r="1135" spans="1:27">
      <c r="A1135" s="96" t="s">
        <v>2925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2922</v>
      </c>
      <c r="H1135" s="127" t="s">
        <v>2924</v>
      </c>
      <c r="I1135" s="127" t="s">
        <v>2551</v>
      </c>
      <c r="J1135" s="127" t="s">
        <v>2844</v>
      </c>
      <c r="K1135" s="127" t="s">
        <v>1849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1487</v>
      </c>
      <c r="AA1135" s="79"/>
    </row>
    <row r="1136" spans="1:27">
      <c r="A1136" s="135" t="s">
        <v>2923</v>
      </c>
      <c r="B1136" s="83" t="str">
        <f t="shared" si="275"/>
        <v>CHUTO_FUKA_DATE</v>
      </c>
      <c r="C1136" s="87" t="s">
        <v>1483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2922</v>
      </c>
      <c r="H1136" s="127" t="s">
        <v>2921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1739</v>
      </c>
      <c r="AA1136" s="79"/>
    </row>
    <row r="1137" spans="1:27">
      <c r="A1137" s="142" t="s">
        <v>2920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2919</v>
      </c>
      <c r="H1137" s="127" t="s">
        <v>725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1739</v>
      </c>
      <c r="AA1137" s="79"/>
    </row>
    <row r="1138" spans="1:27">
      <c r="A1138" s="96" t="s">
        <v>2918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2918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1739</v>
      </c>
      <c r="AA1138" s="79"/>
    </row>
    <row r="1139" spans="1:27">
      <c r="A1139" s="96" t="s">
        <v>2917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2917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1739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2916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2915</v>
      </c>
      <c r="I1140" s="127" t="s">
        <v>2914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1739</v>
      </c>
      <c r="AA1140" s="79"/>
    </row>
    <row r="1141" spans="1:27">
      <c r="A1141" s="96" t="s">
        <v>2913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2913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1739</v>
      </c>
      <c r="AA1141" s="79"/>
    </row>
    <row r="1142" spans="1:27">
      <c r="A1142" s="96" t="s">
        <v>2912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916</v>
      </c>
      <c r="H1142" s="127" t="s">
        <v>298</v>
      </c>
      <c r="I1142" s="127" t="s">
        <v>2551</v>
      </c>
      <c r="J1142" s="127" t="s">
        <v>2844</v>
      </c>
      <c r="K1142" s="127" t="s">
        <v>1849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1739</v>
      </c>
      <c r="AA1142" s="79"/>
    </row>
    <row r="1143" spans="1:27">
      <c r="A1143" s="135" t="s">
        <v>2911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916</v>
      </c>
      <c r="H1143" s="127" t="s">
        <v>391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1739</v>
      </c>
      <c r="AA1143" s="79"/>
    </row>
    <row r="1144" spans="1:27">
      <c r="A1144" s="135" t="s">
        <v>2910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467</v>
      </c>
      <c r="H1144" s="127" t="s">
        <v>2909</v>
      </c>
      <c r="I1144" s="127" t="s">
        <v>177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1549</v>
      </c>
      <c r="AA1144" s="79"/>
    </row>
    <row r="1145" spans="1:27">
      <c r="A1145" s="135" t="s">
        <v>2908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467</v>
      </c>
      <c r="H1145" s="127" t="s">
        <v>432</v>
      </c>
      <c r="I1145" s="127" t="s">
        <v>360</v>
      </c>
      <c r="J1145" s="127" t="s">
        <v>414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1549</v>
      </c>
      <c r="AA1145" s="79"/>
    </row>
    <row r="1146" spans="1:27">
      <c r="A1146" s="135" t="s">
        <v>2907</v>
      </c>
      <c r="B1146" s="83" t="str">
        <f t="shared" si="275"/>
        <v>TSUSAN_NYUIN_KYUFU_NICHIGAKU</v>
      </c>
      <c r="C1146" s="87" t="s">
        <v>753</v>
      </c>
      <c r="D1146" s="82" t="str">
        <f t="shared" si="288"/>
        <v>Number</v>
      </c>
      <c r="E1146" s="82">
        <f t="shared" si="289"/>
        <v>11</v>
      </c>
      <c r="F1146" s="82" t="str">
        <f t="shared" si="290"/>
        <v/>
      </c>
      <c r="G1146" s="128" t="s">
        <v>467</v>
      </c>
      <c r="H1146" s="127" t="s">
        <v>2533</v>
      </c>
      <c r="I1146" s="127" t="s">
        <v>2747</v>
      </c>
      <c r="J1146" s="127" t="s">
        <v>2532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1549</v>
      </c>
      <c r="AA1146" s="79"/>
    </row>
    <row r="1147" spans="1:27">
      <c r="A1147" s="96" t="s">
        <v>2906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302</v>
      </c>
      <c r="H1147" s="127" t="s">
        <v>2346</v>
      </c>
      <c r="I1147" s="127" t="s">
        <v>842</v>
      </c>
      <c r="J1147" s="127" t="s">
        <v>183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1549</v>
      </c>
      <c r="AA1147" s="79"/>
    </row>
    <row r="1148" spans="1:27">
      <c r="A1148" s="96" t="s">
        <v>2905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2904</v>
      </c>
      <c r="H1148" s="127" t="s">
        <v>2903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1549</v>
      </c>
      <c r="AA1148" s="79"/>
    </row>
    <row r="1149" spans="1:27">
      <c r="A1149" s="96" t="s">
        <v>2902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2901</v>
      </c>
      <c r="H1149" s="127" t="s">
        <v>2287</v>
      </c>
      <c r="I1149" s="127" t="s">
        <v>2286</v>
      </c>
      <c r="J1149" s="127" t="s">
        <v>183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1739</v>
      </c>
      <c r="AA1149" s="79"/>
    </row>
    <row r="1150" spans="1:27">
      <c r="A1150" s="96" t="s">
        <v>2900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2897</v>
      </c>
      <c r="H1150" s="127" t="s">
        <v>2284</v>
      </c>
      <c r="I1150" s="127" t="s">
        <v>2213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1739</v>
      </c>
      <c r="AA1150" s="79"/>
    </row>
    <row r="1151" spans="1:27">
      <c r="A1151" s="96" t="s">
        <v>2899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2897</v>
      </c>
      <c r="H1151" s="127" t="s">
        <v>2284</v>
      </c>
      <c r="I1151" s="127" t="s">
        <v>2213</v>
      </c>
      <c r="J1151" s="127" t="s">
        <v>1227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1739</v>
      </c>
      <c r="AA1151" s="79"/>
    </row>
    <row r="1152" spans="1:27">
      <c r="A1152" s="96" t="s">
        <v>2898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2897</v>
      </c>
      <c r="H1152" s="127" t="s">
        <v>2284</v>
      </c>
      <c r="I1152" s="127" t="s">
        <v>2491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1739</v>
      </c>
      <c r="AA1152" s="79"/>
    </row>
    <row r="1153" spans="1:27">
      <c r="A1153" s="96" t="s">
        <v>2896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2895</v>
      </c>
      <c r="H1153" s="127" t="s">
        <v>2894</v>
      </c>
      <c r="I1153" s="127" t="s">
        <v>725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1739</v>
      </c>
      <c r="AA1153" s="79"/>
    </row>
    <row r="1154" spans="1:27">
      <c r="A1154" s="96" t="s">
        <v>2893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2891</v>
      </c>
      <c r="H1154" s="127" t="s">
        <v>2704</v>
      </c>
      <c r="I1154" s="127" t="s">
        <v>2735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1739</v>
      </c>
      <c r="AA1154" s="79"/>
    </row>
    <row r="1155" spans="1:27">
      <c r="A1155" s="96" t="s">
        <v>2892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2891</v>
      </c>
      <c r="H1155" s="127" t="s">
        <v>2254</v>
      </c>
      <c r="I1155" s="127" t="s">
        <v>2264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1739</v>
      </c>
      <c r="AA1155" s="79"/>
    </row>
    <row r="1156" spans="1:27">
      <c r="A1156" s="88" t="s">
        <v>2890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2887</v>
      </c>
      <c r="H1156" s="127" t="s">
        <v>1245</v>
      </c>
      <c r="I1156" s="127" t="s">
        <v>2889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1739</v>
      </c>
      <c r="AA1156" s="79"/>
    </row>
    <row r="1157" spans="1:27">
      <c r="A1157" s="88" t="s">
        <v>2888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2887</v>
      </c>
      <c r="H1157" s="127" t="s">
        <v>2886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1739</v>
      </c>
      <c r="AA1157" s="79"/>
    </row>
    <row r="1158" spans="1:27">
      <c r="A1158" s="135" t="s">
        <v>2885</v>
      </c>
      <c r="B1158" s="83" t="str">
        <f t="shared" si="291"/>
        <v>TEIZO_FLG</v>
      </c>
      <c r="C1158" s="87" t="s">
        <v>1728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1245</v>
      </c>
      <c r="H1158" s="127" t="s">
        <v>465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1739</v>
      </c>
      <c r="AA1158" s="79"/>
    </row>
    <row r="1159" spans="1:27">
      <c r="A1159" s="135" t="s">
        <v>2884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834</v>
      </c>
      <c r="H1159" s="127" t="s">
        <v>1235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1739</v>
      </c>
      <c r="AA1159" s="79"/>
    </row>
    <row r="1160" spans="1:27">
      <c r="A1160" s="135" t="s">
        <v>2883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834</v>
      </c>
      <c r="H1160" s="127" t="s">
        <v>2882</v>
      </c>
      <c r="I1160" s="127" t="s">
        <v>1238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1739</v>
      </c>
      <c r="AA1160" s="79"/>
    </row>
    <row r="1161" spans="1:27">
      <c r="A1161" s="134" t="s">
        <v>2881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834</v>
      </c>
      <c r="H1161" s="127" t="s">
        <v>2794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1487</v>
      </c>
      <c r="AA1161" s="79"/>
    </row>
    <row r="1162" spans="1:27">
      <c r="A1162" s="135" t="s">
        <v>2880</v>
      </c>
      <c r="B1162" s="83" t="str">
        <f t="shared" si="291"/>
        <v>CV_KAKAKU_SHUTOKU_DATE</v>
      </c>
      <c r="C1162" s="87" t="s">
        <v>1483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834</v>
      </c>
      <c r="H1162" s="127" t="s">
        <v>2794</v>
      </c>
      <c r="I1162" s="127" t="s">
        <v>2879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1739</v>
      </c>
      <c r="AA1162" s="79"/>
    </row>
    <row r="1163" spans="1:27">
      <c r="A1163" s="135" t="s">
        <v>2878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834</v>
      </c>
      <c r="H1163" s="127" t="s">
        <v>177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1739</v>
      </c>
      <c r="AA1163" s="79"/>
    </row>
    <row r="1164" spans="1:27">
      <c r="A1164" s="144" t="s">
        <v>2877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834</v>
      </c>
      <c r="H1164" s="127" t="s">
        <v>2871</v>
      </c>
      <c r="I1164" s="127" t="s">
        <v>2876</v>
      </c>
      <c r="J1164" s="127" t="s">
        <v>2874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1739</v>
      </c>
      <c r="AA1164" s="79"/>
    </row>
    <row r="1165" spans="1:27">
      <c r="A1165" s="162" t="s">
        <v>2875</v>
      </c>
      <c r="B1165" s="83" t="str">
        <f t="shared" si="291"/>
        <v>CV_PLCY_TIME_V_RT_F</v>
      </c>
      <c r="C1165" s="87" t="s">
        <v>2872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834</v>
      </c>
      <c r="H1165" s="127" t="s">
        <v>2871</v>
      </c>
      <c r="I1165" s="127" t="s">
        <v>2870</v>
      </c>
      <c r="J1165" s="127" t="s">
        <v>2874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1739</v>
      </c>
      <c r="AA1165" s="79"/>
    </row>
    <row r="1166" spans="1:27">
      <c r="A1166" s="162" t="s">
        <v>2873</v>
      </c>
      <c r="B1166" s="83" t="str">
        <f t="shared" si="291"/>
        <v>CV_PLCY_TIME_V_RT_M</v>
      </c>
      <c r="C1166" s="87" t="s">
        <v>2872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834</v>
      </c>
      <c r="H1166" s="127" t="s">
        <v>2871</v>
      </c>
      <c r="I1166" s="127" t="s">
        <v>2870</v>
      </c>
      <c r="J1166" s="127" t="s">
        <v>2869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1739</v>
      </c>
      <c r="AA1166" s="79"/>
    </row>
    <row r="1167" spans="1:27">
      <c r="A1167" s="135" t="s">
        <v>2868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2866</v>
      </c>
      <c r="H1167" s="127" t="s">
        <v>1314</v>
      </c>
      <c r="I1167" s="127" t="s">
        <v>391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1739</v>
      </c>
      <c r="AA1167" s="79"/>
    </row>
    <row r="1168" spans="1:27">
      <c r="A1168" s="135" t="s">
        <v>2867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2866</v>
      </c>
      <c r="H1168" s="127" t="s">
        <v>1314</v>
      </c>
      <c r="I1168" s="127" t="s">
        <v>391</v>
      </c>
      <c r="J1168" s="127" t="s">
        <v>2513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1739</v>
      </c>
      <c r="AA1168" s="79"/>
    </row>
    <row r="1169" spans="1:27">
      <c r="A1169" s="135" t="s">
        <v>2865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2863</v>
      </c>
      <c r="H1169" s="127" t="s">
        <v>765</v>
      </c>
      <c r="I1169" s="127" t="s">
        <v>834</v>
      </c>
      <c r="J1169" s="127" t="s">
        <v>2794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1739</v>
      </c>
      <c r="AA1169" s="79"/>
    </row>
    <row r="1170" spans="1:27">
      <c r="A1170" s="135" t="s">
        <v>2864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2863</v>
      </c>
      <c r="H1170" s="127" t="s">
        <v>764</v>
      </c>
      <c r="I1170" s="127" t="s">
        <v>834</v>
      </c>
      <c r="J1170" s="127" t="s">
        <v>2794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1739</v>
      </c>
      <c r="AA1170" s="79"/>
    </row>
    <row r="1171" spans="1:27">
      <c r="A1171" s="135" t="s">
        <v>2862</v>
      </c>
      <c r="B1171" s="83" t="str">
        <f t="shared" si="291"/>
        <v>ADV_CV_KASYU_FLG</v>
      </c>
      <c r="C1171" s="87" t="s">
        <v>1728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1855</v>
      </c>
      <c r="H1171" s="127" t="s">
        <v>2861</v>
      </c>
      <c r="I1171" s="127" t="s">
        <v>465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1739</v>
      </c>
      <c r="AA1171" s="79"/>
    </row>
    <row r="1172" spans="1:27">
      <c r="A1172" s="135" t="s">
        <v>2860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1855</v>
      </c>
      <c r="H1172" s="127" t="s">
        <v>257</v>
      </c>
      <c r="I1172" s="127" t="s">
        <v>2859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1739</v>
      </c>
      <c r="AA1172" s="79"/>
    </row>
    <row r="1173" spans="1:27">
      <c r="A1173" s="157" t="s">
        <v>2858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1855</v>
      </c>
      <c r="H1173" s="127" t="s">
        <v>1314</v>
      </c>
      <c r="I1173" s="127" t="s">
        <v>2857</v>
      </c>
      <c r="J1173" s="127" t="s">
        <v>2856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1739</v>
      </c>
      <c r="AA1173" s="79"/>
    </row>
    <row r="1174" spans="1:27">
      <c r="A1174" s="157" t="s">
        <v>2855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1855</v>
      </c>
      <c r="H1174" s="127" t="s">
        <v>1314</v>
      </c>
      <c r="I1174" s="127" t="s">
        <v>432</v>
      </c>
      <c r="J1174" s="127" t="s">
        <v>1235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1739</v>
      </c>
      <c r="AA1174" s="79"/>
    </row>
    <row r="1175" spans="1:27">
      <c r="A1175" s="157" t="s">
        <v>2854</v>
      </c>
      <c r="B1175" s="83" t="str">
        <f t="shared" si="291"/>
        <v>ADV_CV_GOKEI_NYUIN_NICHIGAKU</v>
      </c>
      <c r="C1175" s="87" t="s">
        <v>753</v>
      </c>
      <c r="D1175" s="82" t="str">
        <f t="shared" si="288"/>
        <v>Number</v>
      </c>
      <c r="E1175" s="82">
        <f t="shared" si="289"/>
        <v>11</v>
      </c>
      <c r="F1175" s="82" t="str">
        <f t="shared" si="290"/>
        <v/>
      </c>
      <c r="G1175" s="128" t="s">
        <v>1855</v>
      </c>
      <c r="H1175" s="127" t="s">
        <v>1314</v>
      </c>
      <c r="I1175" s="127" t="s">
        <v>2533</v>
      </c>
      <c r="J1175" s="127" t="s">
        <v>2532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1487</v>
      </c>
      <c r="AA1175" s="79"/>
    </row>
    <row r="1176" spans="1:27">
      <c r="A1176" s="143" t="s">
        <v>2853</v>
      </c>
      <c r="B1176" s="83" t="str">
        <f t="shared" si="291"/>
        <v>CV_DATE</v>
      </c>
      <c r="C1176" s="87" t="s">
        <v>1483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2853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1739</v>
      </c>
      <c r="AA1176" s="79"/>
    </row>
    <row r="1177" spans="1:27">
      <c r="A1177" s="135" t="s">
        <v>2852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2851</v>
      </c>
      <c r="H1177" s="127" t="s">
        <v>2850</v>
      </c>
      <c r="I1177" s="127" t="s">
        <v>1235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1739</v>
      </c>
      <c r="AA1177" s="79"/>
    </row>
    <row r="1178" spans="1:27">
      <c r="A1178" s="135" t="s">
        <v>2849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2849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1739</v>
      </c>
      <c r="AA1178" s="79"/>
    </row>
    <row r="1179" spans="1:27">
      <c r="A1179" s="135" t="s">
        <v>2848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2847</v>
      </c>
      <c r="H1179" s="127" t="s">
        <v>2514</v>
      </c>
      <c r="I1179" s="127" t="s">
        <v>2846</v>
      </c>
      <c r="J1179" s="127" t="s">
        <v>1235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1739</v>
      </c>
      <c r="AA1179" s="79"/>
    </row>
    <row r="1180" spans="1:27">
      <c r="A1180" s="96" t="s">
        <v>2845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2842</v>
      </c>
      <c r="H1180" s="127" t="s">
        <v>733</v>
      </c>
      <c r="I1180" s="127" t="s">
        <v>2551</v>
      </c>
      <c r="J1180" s="127" t="s">
        <v>2844</v>
      </c>
      <c r="K1180" s="127" t="s">
        <v>1849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1739</v>
      </c>
      <c r="AA1180" s="79"/>
    </row>
    <row r="1181" spans="1:27">
      <c r="A1181" s="161" t="s">
        <v>2843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2842</v>
      </c>
      <c r="H1181" s="127" t="s">
        <v>733</v>
      </c>
      <c r="I1181" s="127" t="s">
        <v>832</v>
      </c>
      <c r="J1181" s="127" t="s">
        <v>1849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1739</v>
      </c>
      <c r="AA1181" s="79"/>
    </row>
    <row r="1182" spans="1:27">
      <c r="A1182" s="160" t="s">
        <v>2841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872</v>
      </c>
      <c r="H1182" s="127" t="s">
        <v>1238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1739</v>
      </c>
      <c r="AA1182" s="79"/>
    </row>
    <row r="1183" spans="1:27">
      <c r="A1183" s="156" t="s">
        <v>872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872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1739</v>
      </c>
      <c r="AA1183" s="79"/>
    </row>
    <row r="1184" spans="1:27">
      <c r="A1184" s="96" t="s">
        <v>2840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872</v>
      </c>
      <c r="H1184" s="127" t="s">
        <v>1235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1739</v>
      </c>
      <c r="AA1184" s="79"/>
    </row>
    <row r="1185" spans="1:27">
      <c r="A1185" s="142" t="s">
        <v>2839</v>
      </c>
      <c r="B1185" s="83" t="str">
        <f t="shared" si="291"/>
        <v>ATAMAKIN_FLG</v>
      </c>
      <c r="C1185" s="87" t="s">
        <v>1728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872</v>
      </c>
      <c r="H1185" s="127" t="s">
        <v>465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1739</v>
      </c>
      <c r="AA1185" s="79"/>
    </row>
    <row r="1186" spans="1:27">
      <c r="A1186" s="96" t="s">
        <v>2838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872</v>
      </c>
      <c r="H1186" s="127" t="s">
        <v>1888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1739</v>
      </c>
      <c r="AA1186" s="79"/>
    </row>
    <row r="1187" spans="1:27">
      <c r="A1187" s="135" t="s">
        <v>2837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872</v>
      </c>
      <c r="H1187" s="127" t="s">
        <v>2836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1739</v>
      </c>
      <c r="AA1187" s="79"/>
    </row>
    <row r="1188" spans="1:27">
      <c r="A1188" s="135" t="s">
        <v>2835</v>
      </c>
      <c r="B1188" s="83" t="str">
        <f t="shared" si="291"/>
        <v>P_ATAMAKIN</v>
      </c>
      <c r="C1188" s="87" t="s">
        <v>753</v>
      </c>
      <c r="D1188" s="82" t="str">
        <f t="shared" si="288"/>
        <v>Number</v>
      </c>
      <c r="E1188" s="82">
        <f t="shared" si="289"/>
        <v>11</v>
      </c>
      <c r="F1188" s="82" t="str">
        <f t="shared" si="290"/>
        <v/>
      </c>
      <c r="G1188" s="128" t="s">
        <v>2834</v>
      </c>
      <c r="H1188" s="127" t="s">
        <v>1585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1739</v>
      </c>
      <c r="AA1188" s="79"/>
    </row>
    <row r="1189" spans="1:27">
      <c r="A1189" s="135" t="s">
        <v>2833</v>
      </c>
      <c r="B1189" s="83" t="str">
        <f t="shared" si="291"/>
        <v>S_ATAMAKIN</v>
      </c>
      <c r="C1189" s="87" t="s">
        <v>753</v>
      </c>
      <c r="D1189" s="82" t="str">
        <f t="shared" si="288"/>
        <v>Number</v>
      </c>
      <c r="E1189" s="82">
        <f t="shared" si="289"/>
        <v>11</v>
      </c>
      <c r="F1189" s="82" t="str">
        <f t="shared" si="290"/>
        <v/>
      </c>
      <c r="G1189" s="128" t="s">
        <v>2832</v>
      </c>
      <c r="H1189" s="127" t="s">
        <v>1585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1739</v>
      </c>
      <c r="AA1189" s="79"/>
    </row>
    <row r="1190" spans="1:27">
      <c r="A1190" s="145" t="s">
        <v>2831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2830</v>
      </c>
      <c r="H1190" s="127" t="s">
        <v>183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1739</v>
      </c>
      <c r="AA1190" s="79"/>
    </row>
    <row r="1191" spans="1:27">
      <c r="A1191" s="135" t="s">
        <v>2829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2828</v>
      </c>
      <c r="H1191" s="127" t="s">
        <v>298</v>
      </c>
      <c r="I1191" s="127" t="s">
        <v>177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1739</v>
      </c>
      <c r="AA1191" s="79"/>
    </row>
    <row r="1192" spans="1:27">
      <c r="A1192" s="135" t="s">
        <v>2827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638</v>
      </c>
      <c r="H1192" s="127" t="s">
        <v>637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1739</v>
      </c>
      <c r="AA1192" s="79"/>
    </row>
    <row r="1193" spans="1:27">
      <c r="A1193" s="96" t="s">
        <v>2826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2825</v>
      </c>
      <c r="H1193" s="127" t="s">
        <v>183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1739</v>
      </c>
      <c r="AA1193" s="79"/>
    </row>
    <row r="1194" spans="1:27">
      <c r="A1194" s="96" t="s">
        <v>2824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830</v>
      </c>
      <c r="H1194" s="127" t="s">
        <v>391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1739</v>
      </c>
      <c r="AA1194" s="79"/>
    </row>
    <row r="1195" spans="1:27">
      <c r="A1195" s="96" t="s">
        <v>2823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830</v>
      </c>
      <c r="H1195" s="127" t="s">
        <v>391</v>
      </c>
      <c r="I1195" s="127" t="s">
        <v>183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1739</v>
      </c>
      <c r="AA1195" s="79"/>
    </row>
    <row r="1196" spans="1:27">
      <c r="A1196" s="135" t="s">
        <v>2822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764</v>
      </c>
      <c r="H1196" s="127" t="s">
        <v>2821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1739</v>
      </c>
      <c r="AA1196" s="79"/>
    </row>
    <row r="1197" spans="1:27">
      <c r="A1197" s="135" t="s">
        <v>2820</v>
      </c>
      <c r="B1197" s="83" t="str">
        <f t="shared" si="291"/>
        <v>RIDER_KI_PLCY_FLG_1</v>
      </c>
      <c r="C1197" s="87" t="s">
        <v>1728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764</v>
      </c>
      <c r="H1197" s="127" t="s">
        <v>257</v>
      </c>
      <c r="I1197" s="127" t="s">
        <v>465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1739</v>
      </c>
      <c r="AA1197" s="79"/>
    </row>
    <row r="1198" spans="1:27">
      <c r="A1198" s="135" t="s">
        <v>2819</v>
      </c>
      <c r="B1198" s="83" t="str">
        <f t="shared" si="291"/>
        <v>RIDER_KI_PLCY_FLG_10</v>
      </c>
      <c r="C1198" s="87" t="s">
        <v>1728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764</v>
      </c>
      <c r="H1198" s="127" t="s">
        <v>257</v>
      </c>
      <c r="I1198" s="127" t="s">
        <v>465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1739</v>
      </c>
      <c r="AA1198" s="79"/>
    </row>
    <row r="1199" spans="1:27">
      <c r="A1199" s="135" t="s">
        <v>2818</v>
      </c>
      <c r="B1199" s="83" t="str">
        <f t="shared" si="291"/>
        <v>RIDER_KI_PLCY_FLG_2</v>
      </c>
      <c r="C1199" s="87" t="s">
        <v>1728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764</v>
      </c>
      <c r="H1199" s="127" t="s">
        <v>257</v>
      </c>
      <c r="I1199" s="127" t="s">
        <v>465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1739</v>
      </c>
      <c r="AA1199" s="79"/>
    </row>
    <row r="1200" spans="1:27">
      <c r="A1200" s="135" t="s">
        <v>2817</v>
      </c>
      <c r="B1200" s="83" t="str">
        <f t="shared" si="291"/>
        <v>RIDER_KI_PLCY_FLG_3</v>
      </c>
      <c r="C1200" s="87" t="s">
        <v>1728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764</v>
      </c>
      <c r="H1200" s="127" t="s">
        <v>257</v>
      </c>
      <c r="I1200" s="127" t="s">
        <v>465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1739</v>
      </c>
      <c r="AA1200" s="79"/>
    </row>
    <row r="1201" spans="1:27">
      <c r="A1201" s="135" t="s">
        <v>2816</v>
      </c>
      <c r="B1201" s="83" t="str">
        <f t="shared" si="291"/>
        <v>RIDER_KI_PLCY_FLG_4</v>
      </c>
      <c r="C1201" s="87" t="s">
        <v>1728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764</v>
      </c>
      <c r="H1201" s="127" t="s">
        <v>257</v>
      </c>
      <c r="I1201" s="127" t="s">
        <v>465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1739</v>
      </c>
      <c r="AA1201" s="79"/>
    </row>
    <row r="1202" spans="1:27">
      <c r="A1202" s="135" t="s">
        <v>2815</v>
      </c>
      <c r="B1202" s="83" t="str">
        <f t="shared" si="291"/>
        <v>RIDER_KI_PLCY_FLG_5</v>
      </c>
      <c r="C1202" s="87" t="s">
        <v>1728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764</v>
      </c>
      <c r="H1202" s="127" t="s">
        <v>257</v>
      </c>
      <c r="I1202" s="127" t="s">
        <v>465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1739</v>
      </c>
      <c r="AA1202" s="79"/>
    </row>
    <row r="1203" spans="1:27">
      <c r="A1203" s="135" t="s">
        <v>2814</v>
      </c>
      <c r="B1203" s="83" t="str">
        <f t="shared" si="291"/>
        <v>RIDER_KI_PLCY_FLG_6</v>
      </c>
      <c r="C1203" s="87" t="s">
        <v>1728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764</v>
      </c>
      <c r="H1203" s="127" t="s">
        <v>257</v>
      </c>
      <c r="I1203" s="127" t="s">
        <v>465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1739</v>
      </c>
      <c r="AA1203" s="79"/>
    </row>
    <row r="1204" spans="1:27">
      <c r="A1204" s="135" t="s">
        <v>2813</v>
      </c>
      <c r="B1204" s="83" t="str">
        <f t="shared" si="291"/>
        <v>RIDER_KI_PLCY_FLG_7</v>
      </c>
      <c r="C1204" s="87" t="s">
        <v>1728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764</v>
      </c>
      <c r="H1204" s="127" t="s">
        <v>257</v>
      </c>
      <c r="I1204" s="127" t="s">
        <v>465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1739</v>
      </c>
      <c r="AA1204" s="79"/>
    </row>
    <row r="1205" spans="1:27">
      <c r="A1205" s="135" t="s">
        <v>2812</v>
      </c>
      <c r="B1205" s="83" t="str">
        <f t="shared" si="291"/>
        <v>RIDER_KI_PLCY_FLG_8</v>
      </c>
      <c r="C1205" s="87" t="s">
        <v>1728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764</v>
      </c>
      <c r="H1205" s="127" t="s">
        <v>257</v>
      </c>
      <c r="I1205" s="127" t="s">
        <v>465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1739</v>
      </c>
      <c r="AA1205" s="79"/>
    </row>
    <row r="1206" spans="1:27">
      <c r="A1206" s="135" t="s">
        <v>2811</v>
      </c>
      <c r="B1206" s="83" t="str">
        <f t="shared" si="291"/>
        <v>RIDER_KI_PLCY_FLG_9</v>
      </c>
      <c r="C1206" s="87" t="s">
        <v>1728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764</v>
      </c>
      <c r="H1206" s="127" t="s">
        <v>257</v>
      </c>
      <c r="I1206" s="127" t="s">
        <v>465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1739</v>
      </c>
      <c r="AA1206" s="79"/>
    </row>
    <row r="1207" spans="1:27">
      <c r="A1207" s="96" t="s">
        <v>2810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764</v>
      </c>
      <c r="H1207" s="127" t="s">
        <v>831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1739</v>
      </c>
      <c r="AA1207" s="79"/>
    </row>
    <row r="1208" spans="1:27">
      <c r="A1208" s="135" t="s">
        <v>2809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764</v>
      </c>
      <c r="H1208" s="127" t="s">
        <v>871</v>
      </c>
      <c r="I1208" s="127" t="s">
        <v>1888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1739</v>
      </c>
      <c r="AA1208" s="79"/>
    </row>
    <row r="1209" spans="1:27">
      <c r="A1209" s="135" t="s">
        <v>2808</v>
      </c>
      <c r="B1209" s="83" t="str">
        <f t="shared" si="291"/>
        <v>RIDER_SHOHIN_CD_1</v>
      </c>
      <c r="C1209" s="87" t="s">
        <v>2798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764</v>
      </c>
      <c r="H1209" s="127" t="s">
        <v>733</v>
      </c>
      <c r="I1209" s="127" t="s">
        <v>183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1739</v>
      </c>
      <c r="AA1209" s="79"/>
    </row>
    <row r="1210" spans="1:27">
      <c r="A1210" s="135" t="s">
        <v>2807</v>
      </c>
      <c r="B1210" s="83" t="str">
        <f t="shared" si="291"/>
        <v>RIDER_SHOHIN_CD_10</v>
      </c>
      <c r="C1210" s="87" t="s">
        <v>2798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764</v>
      </c>
      <c r="H1210" s="127" t="s">
        <v>733</v>
      </c>
      <c r="I1210" s="127" t="s">
        <v>183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1739</v>
      </c>
      <c r="AA1210" s="79"/>
    </row>
    <row r="1211" spans="1:27">
      <c r="A1211" s="135" t="s">
        <v>2806</v>
      </c>
      <c r="B1211" s="83" t="str">
        <f t="shared" si="291"/>
        <v>RIDER_SHOHIN_CD_2</v>
      </c>
      <c r="C1211" s="87" t="s">
        <v>2798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764</v>
      </c>
      <c r="H1211" s="127" t="s">
        <v>733</v>
      </c>
      <c r="I1211" s="127" t="s">
        <v>183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1739</v>
      </c>
      <c r="AA1211" s="79"/>
    </row>
    <row r="1212" spans="1:27">
      <c r="A1212" s="135" t="s">
        <v>2805</v>
      </c>
      <c r="B1212" s="83" t="str">
        <f t="shared" si="291"/>
        <v>RIDER_SHOHIN_CD_3</v>
      </c>
      <c r="C1212" s="87" t="s">
        <v>2798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764</v>
      </c>
      <c r="H1212" s="127" t="s">
        <v>733</v>
      </c>
      <c r="I1212" s="127" t="s">
        <v>183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1739</v>
      </c>
      <c r="AA1212" s="79"/>
    </row>
    <row r="1213" spans="1:27">
      <c r="A1213" s="135" t="s">
        <v>2804</v>
      </c>
      <c r="B1213" s="83" t="str">
        <f t="shared" si="291"/>
        <v>RIDER_SHOHIN_CD_4</v>
      </c>
      <c r="C1213" s="87" t="s">
        <v>2798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764</v>
      </c>
      <c r="H1213" s="127" t="s">
        <v>733</v>
      </c>
      <c r="I1213" s="127" t="s">
        <v>183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1739</v>
      </c>
      <c r="AA1213" s="79"/>
    </row>
    <row r="1214" spans="1:27">
      <c r="A1214" s="135" t="s">
        <v>2803</v>
      </c>
      <c r="B1214" s="83" t="str">
        <f t="shared" si="291"/>
        <v>RIDER_SHOHIN_CD_5</v>
      </c>
      <c r="C1214" s="87" t="s">
        <v>2798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764</v>
      </c>
      <c r="H1214" s="127" t="s">
        <v>733</v>
      </c>
      <c r="I1214" s="127" t="s">
        <v>183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1739</v>
      </c>
      <c r="AA1214" s="79"/>
    </row>
    <row r="1215" spans="1:27">
      <c r="A1215" s="135" t="s">
        <v>2802</v>
      </c>
      <c r="B1215" s="83" t="str">
        <f t="shared" si="291"/>
        <v>RIDER_SHOHIN_CD_6</v>
      </c>
      <c r="C1215" s="87" t="s">
        <v>2798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764</v>
      </c>
      <c r="H1215" s="127" t="s">
        <v>733</v>
      </c>
      <c r="I1215" s="127" t="s">
        <v>183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1739</v>
      </c>
      <c r="AA1215" s="79"/>
    </row>
    <row r="1216" spans="1:27">
      <c r="A1216" s="135" t="s">
        <v>2801</v>
      </c>
      <c r="B1216" s="83" t="str">
        <f t="shared" si="291"/>
        <v>RIDER_SHOHIN_CD_7</v>
      </c>
      <c r="C1216" s="87" t="s">
        <v>2798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764</v>
      </c>
      <c r="H1216" s="127" t="s">
        <v>733</v>
      </c>
      <c r="I1216" s="127" t="s">
        <v>183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1739</v>
      </c>
      <c r="AA1216" s="79"/>
    </row>
    <row r="1217" spans="1:27">
      <c r="A1217" s="135" t="s">
        <v>2800</v>
      </c>
      <c r="B1217" s="83" t="str">
        <f t="shared" si="291"/>
        <v>RIDER_SHOHIN_CD_8</v>
      </c>
      <c r="C1217" s="87" t="s">
        <v>2798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764</v>
      </c>
      <c r="H1217" s="127" t="s">
        <v>733</v>
      </c>
      <c r="I1217" s="127" t="s">
        <v>183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1739</v>
      </c>
      <c r="AA1217" s="79"/>
    </row>
    <row r="1218" spans="1:27">
      <c r="A1218" s="135" t="s">
        <v>2799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2798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764</v>
      </c>
      <c r="H1218" s="127" t="s">
        <v>733</v>
      </c>
      <c r="I1218" s="127" t="s">
        <v>183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1739</v>
      </c>
      <c r="AA1218" s="79"/>
    </row>
    <row r="1219" spans="1:27">
      <c r="A1219" s="88" t="s">
        <v>2797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764</v>
      </c>
      <c r="H1219" s="127" t="s">
        <v>1944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1739</v>
      </c>
      <c r="AA1219" s="79"/>
    </row>
    <row r="1220" spans="1:27">
      <c r="A1220" s="135" t="s">
        <v>2796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764</v>
      </c>
      <c r="H1220" s="127" t="s">
        <v>834</v>
      </c>
      <c r="I1220" s="127" t="s">
        <v>1235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1739</v>
      </c>
      <c r="AA1220" s="79"/>
    </row>
    <row r="1221" spans="1:27">
      <c r="A1221" s="135" t="s">
        <v>2795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764</v>
      </c>
      <c r="H1221" s="127" t="s">
        <v>834</v>
      </c>
      <c r="I1221" s="127" t="s">
        <v>2794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1739</v>
      </c>
      <c r="AA1221" s="79"/>
    </row>
    <row r="1222" spans="1:27">
      <c r="A1222" s="135" t="s">
        <v>2793</v>
      </c>
      <c r="B1222" s="83" t="str">
        <f t="shared" si="307"/>
        <v>RIDER_HOSHO_CD_1</v>
      </c>
      <c r="C1222" s="87" t="s">
        <v>1441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764</v>
      </c>
      <c r="H1222" s="127" t="s">
        <v>815</v>
      </c>
      <c r="I1222" s="127" t="s">
        <v>183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1739</v>
      </c>
      <c r="AA1222" s="79"/>
    </row>
    <row r="1223" spans="1:27">
      <c r="A1223" s="135" t="s">
        <v>2792</v>
      </c>
      <c r="B1223" s="83" t="str">
        <f t="shared" si="307"/>
        <v>RIDER_HOSHO_CD_10</v>
      </c>
      <c r="C1223" s="87" t="s">
        <v>1441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764</v>
      </c>
      <c r="H1223" s="127" t="s">
        <v>815</v>
      </c>
      <c r="I1223" s="127" t="s">
        <v>183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1739</v>
      </c>
      <c r="AA1223" s="79"/>
    </row>
    <row r="1224" spans="1:27">
      <c r="A1224" s="135" t="s">
        <v>2791</v>
      </c>
      <c r="B1224" s="83" t="str">
        <f t="shared" si="307"/>
        <v>RIDER_HOSHO_CD_2</v>
      </c>
      <c r="C1224" s="87" t="s">
        <v>1441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764</v>
      </c>
      <c r="H1224" s="127" t="s">
        <v>815</v>
      </c>
      <c r="I1224" s="127" t="s">
        <v>183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1739</v>
      </c>
      <c r="AA1224" s="79"/>
    </row>
    <row r="1225" spans="1:27">
      <c r="A1225" s="135" t="s">
        <v>2790</v>
      </c>
      <c r="B1225" s="83" t="str">
        <f t="shared" si="307"/>
        <v>RIDER_HOSHO_CD_3</v>
      </c>
      <c r="C1225" s="87" t="s">
        <v>1441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764</v>
      </c>
      <c r="H1225" s="127" t="s">
        <v>815</v>
      </c>
      <c r="I1225" s="127" t="s">
        <v>183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1739</v>
      </c>
      <c r="AA1225" s="79"/>
    </row>
    <row r="1226" spans="1:27">
      <c r="A1226" s="135" t="s">
        <v>2789</v>
      </c>
      <c r="B1226" s="83" t="str">
        <f t="shared" si="307"/>
        <v>RIDER_HOSHO_CD_4</v>
      </c>
      <c r="C1226" s="87" t="s">
        <v>1441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764</v>
      </c>
      <c r="H1226" s="127" t="s">
        <v>815</v>
      </c>
      <c r="I1226" s="127" t="s">
        <v>183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1739</v>
      </c>
      <c r="AA1226" s="79"/>
    </row>
    <row r="1227" spans="1:27">
      <c r="A1227" s="135" t="s">
        <v>2788</v>
      </c>
      <c r="B1227" s="83" t="str">
        <f t="shared" si="307"/>
        <v>RIDER_HOSHO_CD_5</v>
      </c>
      <c r="C1227" s="87" t="s">
        <v>1441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764</v>
      </c>
      <c r="H1227" s="127" t="s">
        <v>815</v>
      </c>
      <c r="I1227" s="127" t="s">
        <v>183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1739</v>
      </c>
      <c r="AA1227" s="79"/>
    </row>
    <row r="1228" spans="1:27">
      <c r="A1228" s="135" t="s">
        <v>2787</v>
      </c>
      <c r="B1228" s="83" t="str">
        <f t="shared" si="307"/>
        <v>RIDER_HOSHO_CD_6</v>
      </c>
      <c r="C1228" s="87" t="s">
        <v>1441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764</v>
      </c>
      <c r="H1228" s="127" t="s">
        <v>815</v>
      </c>
      <c r="I1228" s="127" t="s">
        <v>183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1739</v>
      </c>
      <c r="AA1228" s="79"/>
    </row>
    <row r="1229" spans="1:27">
      <c r="A1229" s="135" t="s">
        <v>2786</v>
      </c>
      <c r="B1229" s="83" t="str">
        <f t="shared" si="307"/>
        <v>RIDER_HOSHO_CD_7</v>
      </c>
      <c r="C1229" s="87" t="s">
        <v>1441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764</v>
      </c>
      <c r="H1229" s="127" t="s">
        <v>815</v>
      </c>
      <c r="I1229" s="127" t="s">
        <v>183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1739</v>
      </c>
      <c r="AA1229" s="79"/>
    </row>
    <row r="1230" spans="1:27">
      <c r="A1230" s="135" t="s">
        <v>2785</v>
      </c>
      <c r="B1230" s="83" t="str">
        <f t="shared" si="307"/>
        <v>RIDER_HOSHO_CD_8</v>
      </c>
      <c r="C1230" s="87" t="s">
        <v>1441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764</v>
      </c>
      <c r="H1230" s="127" t="s">
        <v>815</v>
      </c>
      <c r="I1230" s="127" t="s">
        <v>183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1739</v>
      </c>
      <c r="AA1230" s="79"/>
    </row>
    <row r="1231" spans="1:27">
      <c r="A1231" s="135" t="s">
        <v>2784</v>
      </c>
      <c r="B1231" s="83" t="str">
        <f t="shared" si="307"/>
        <v>RIDER_HOSHO_CD_9</v>
      </c>
      <c r="C1231" s="87" t="s">
        <v>1441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764</v>
      </c>
      <c r="H1231" s="127" t="s">
        <v>815</v>
      </c>
      <c r="I1231" s="127" t="s">
        <v>183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1487</v>
      </c>
      <c r="AA1231" s="79"/>
    </row>
    <row r="1232" spans="1:27">
      <c r="A1232" s="96" t="s">
        <v>2783</v>
      </c>
      <c r="B1232" s="83" t="str">
        <f t="shared" si="307"/>
        <v>RIDER_HOSHOBETSU_PLCY_DATE_1</v>
      </c>
      <c r="C1232" s="87" t="s">
        <v>1483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764</v>
      </c>
      <c r="H1232" s="127" t="s">
        <v>2763</v>
      </c>
      <c r="I1232" s="127" t="s">
        <v>1988</v>
      </c>
      <c r="J1232" s="127" t="s">
        <v>2182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1487</v>
      </c>
      <c r="AA1232" s="79"/>
    </row>
    <row r="1233" spans="1:27">
      <c r="A1233" s="96" t="s">
        <v>2782</v>
      </c>
      <c r="B1233" s="83" t="str">
        <f t="shared" si="307"/>
        <v>RIDER_HOSHOBETSU_PLCY_DATE_10</v>
      </c>
      <c r="C1233" s="87" t="s">
        <v>1483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764</v>
      </c>
      <c r="H1233" s="127" t="s">
        <v>2763</v>
      </c>
      <c r="I1233" s="127" t="s">
        <v>1988</v>
      </c>
      <c r="J1233" s="127" t="s">
        <v>2182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1487</v>
      </c>
      <c r="AA1233" s="79"/>
    </row>
    <row r="1234" spans="1:27">
      <c r="A1234" s="96" t="s">
        <v>2781</v>
      </c>
      <c r="B1234" s="83" t="str">
        <f t="shared" si="307"/>
        <v>RIDER_HOSHOBETSU_PLCY_DATE_2</v>
      </c>
      <c r="C1234" s="87" t="s">
        <v>1483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764</v>
      </c>
      <c r="H1234" s="127" t="s">
        <v>2763</v>
      </c>
      <c r="I1234" s="127" t="s">
        <v>1988</v>
      </c>
      <c r="J1234" s="127" t="s">
        <v>2182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1487</v>
      </c>
      <c r="AA1234" s="79"/>
    </row>
    <row r="1235" spans="1:27">
      <c r="A1235" s="96" t="s">
        <v>2780</v>
      </c>
      <c r="B1235" s="83" t="str">
        <f t="shared" si="307"/>
        <v>RIDER_HOSHOBETSU_PLCY_DATE_3</v>
      </c>
      <c r="C1235" s="87" t="s">
        <v>1483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764</v>
      </c>
      <c r="H1235" s="127" t="s">
        <v>2763</v>
      </c>
      <c r="I1235" s="127" t="s">
        <v>1988</v>
      </c>
      <c r="J1235" s="127" t="s">
        <v>2182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1487</v>
      </c>
      <c r="AA1235" s="79"/>
    </row>
    <row r="1236" spans="1:27">
      <c r="A1236" s="96" t="s">
        <v>2779</v>
      </c>
      <c r="B1236" s="83" t="str">
        <f t="shared" si="307"/>
        <v>RIDER_HOSHOBETSU_PLCY_DATE_4</v>
      </c>
      <c r="C1236" s="87" t="s">
        <v>1483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764</v>
      </c>
      <c r="H1236" s="127" t="s">
        <v>2763</v>
      </c>
      <c r="I1236" s="127" t="s">
        <v>1988</v>
      </c>
      <c r="J1236" s="127" t="s">
        <v>2182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1487</v>
      </c>
      <c r="AA1236" s="79"/>
    </row>
    <row r="1237" spans="1:27">
      <c r="A1237" s="96" t="s">
        <v>2778</v>
      </c>
      <c r="B1237" s="83" t="str">
        <f t="shared" si="307"/>
        <v>RIDER_HOSHOBETSU_PLCY_DATE_5</v>
      </c>
      <c r="C1237" s="87" t="s">
        <v>1483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764</v>
      </c>
      <c r="H1237" s="127" t="s">
        <v>2763</v>
      </c>
      <c r="I1237" s="127" t="s">
        <v>1988</v>
      </c>
      <c r="J1237" s="127" t="s">
        <v>2182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1487</v>
      </c>
      <c r="AA1237" s="79"/>
    </row>
    <row r="1238" spans="1:27">
      <c r="A1238" s="96" t="s">
        <v>2777</v>
      </c>
      <c r="B1238" s="83" t="str">
        <f t="shared" si="307"/>
        <v>RIDER_HOSHOBETSU_PLCY_DATE_6</v>
      </c>
      <c r="C1238" s="87" t="s">
        <v>1483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764</v>
      </c>
      <c r="H1238" s="127" t="s">
        <v>2763</v>
      </c>
      <c r="I1238" s="127" t="s">
        <v>1988</v>
      </c>
      <c r="J1238" s="127" t="s">
        <v>2182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1487</v>
      </c>
      <c r="AA1238" s="79"/>
    </row>
    <row r="1239" spans="1:27">
      <c r="A1239" s="96" t="s">
        <v>2776</v>
      </c>
      <c r="B1239" s="83" t="str">
        <f t="shared" si="307"/>
        <v>RIDER_HOSHOBETSU_PLCY_DATE_7</v>
      </c>
      <c r="C1239" s="87" t="s">
        <v>1483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764</v>
      </c>
      <c r="H1239" s="127" t="s">
        <v>2763</v>
      </c>
      <c r="I1239" s="127" t="s">
        <v>1988</v>
      </c>
      <c r="J1239" s="127" t="s">
        <v>2182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1487</v>
      </c>
      <c r="AA1239" s="79"/>
    </row>
    <row r="1240" spans="1:27">
      <c r="A1240" s="96" t="s">
        <v>2775</v>
      </c>
      <c r="B1240" s="83" t="str">
        <f t="shared" si="307"/>
        <v>RIDER_HOSHOBETSU_PLCY_DATE_8</v>
      </c>
      <c r="C1240" s="87" t="s">
        <v>1483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764</v>
      </c>
      <c r="H1240" s="127" t="s">
        <v>2763</v>
      </c>
      <c r="I1240" s="127" t="s">
        <v>1988</v>
      </c>
      <c r="J1240" s="127" t="s">
        <v>2182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1487</v>
      </c>
      <c r="AA1240" s="79"/>
    </row>
    <row r="1241" spans="1:27">
      <c r="A1241" s="96" t="s">
        <v>2774</v>
      </c>
      <c r="B1241" s="83" t="str">
        <f t="shared" si="307"/>
        <v>RIDER_HOSHOBETSU_PLCY_DATE_9</v>
      </c>
      <c r="C1241" s="87" t="s">
        <v>1483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764</v>
      </c>
      <c r="H1241" s="127" t="s">
        <v>2763</v>
      </c>
      <c r="I1241" s="127" t="s">
        <v>1988</v>
      </c>
      <c r="J1241" s="127" t="s">
        <v>2182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1739</v>
      </c>
      <c r="AA1241" s="79"/>
    </row>
    <row r="1242" spans="1:27">
      <c r="A1242" s="96" t="s">
        <v>2773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764</v>
      </c>
      <c r="H1242" s="127" t="s">
        <v>2763</v>
      </c>
      <c r="I1242" s="127" t="s">
        <v>391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1739</v>
      </c>
      <c r="AA1242" s="79"/>
    </row>
    <row r="1243" spans="1:27">
      <c r="A1243" s="96" t="s">
        <v>2772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764</v>
      </c>
      <c r="H1243" s="127" t="s">
        <v>2763</v>
      </c>
      <c r="I1243" s="127" t="s">
        <v>391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1739</v>
      </c>
      <c r="AA1243" s="79"/>
    </row>
    <row r="1244" spans="1:27">
      <c r="A1244" s="96" t="s">
        <v>2771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764</v>
      </c>
      <c r="H1244" s="127" t="s">
        <v>2763</v>
      </c>
      <c r="I1244" s="127" t="s">
        <v>391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1739</v>
      </c>
      <c r="AA1244" s="79"/>
    </row>
    <row r="1245" spans="1:27">
      <c r="A1245" s="96" t="s">
        <v>2770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764</v>
      </c>
      <c r="H1245" s="127" t="s">
        <v>2763</v>
      </c>
      <c r="I1245" s="127" t="s">
        <v>391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1739</v>
      </c>
      <c r="AA1245" s="79"/>
    </row>
    <row r="1246" spans="1:27">
      <c r="A1246" s="96" t="s">
        <v>2769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764</v>
      </c>
      <c r="H1246" s="127" t="s">
        <v>2763</v>
      </c>
      <c r="I1246" s="127" t="s">
        <v>391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1739</v>
      </c>
      <c r="AA1246" s="79"/>
    </row>
    <row r="1247" spans="1:27">
      <c r="A1247" s="96" t="s">
        <v>2768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764</v>
      </c>
      <c r="H1247" s="127" t="s">
        <v>2763</v>
      </c>
      <c r="I1247" s="127" t="s">
        <v>391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1739</v>
      </c>
      <c r="AA1247" s="79"/>
    </row>
    <row r="1248" spans="1:27">
      <c r="A1248" s="96" t="s">
        <v>2767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764</v>
      </c>
      <c r="H1248" s="127" t="s">
        <v>2763</v>
      </c>
      <c r="I1248" s="127" t="s">
        <v>391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1739</v>
      </c>
      <c r="AA1248" s="79"/>
    </row>
    <row r="1249" spans="1:27">
      <c r="A1249" s="96" t="s">
        <v>2766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764</v>
      </c>
      <c r="H1249" s="127" t="s">
        <v>2763</v>
      </c>
      <c r="I1249" s="127" t="s">
        <v>391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1739</v>
      </c>
      <c r="AA1249" s="79"/>
    </row>
    <row r="1250" spans="1:27">
      <c r="A1250" s="96" t="s">
        <v>2765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764</v>
      </c>
      <c r="H1250" s="127" t="s">
        <v>2763</v>
      </c>
      <c r="I1250" s="127" t="s">
        <v>391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1739</v>
      </c>
      <c r="AA1250" s="79"/>
    </row>
    <row r="1251" spans="1:27">
      <c r="A1251" s="96" t="s">
        <v>2764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764</v>
      </c>
      <c r="H1251" s="127" t="s">
        <v>2763</v>
      </c>
      <c r="I1251" s="127" t="s">
        <v>391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1739</v>
      </c>
      <c r="AA1251" s="79"/>
    </row>
    <row r="1252" spans="1:27">
      <c r="A1252" s="96" t="s">
        <v>2762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764</v>
      </c>
      <c r="H1252" s="127" t="s">
        <v>348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1739</v>
      </c>
      <c r="AA1252" s="79"/>
    </row>
    <row r="1253" spans="1:27">
      <c r="A1253" s="135" t="s">
        <v>2761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855</v>
      </c>
      <c r="H1253" s="127" t="s">
        <v>900</v>
      </c>
      <c r="I1253" s="127" t="s">
        <v>183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1739</v>
      </c>
      <c r="AA1253" s="79"/>
    </row>
    <row r="1254" spans="1:27">
      <c r="A1254" s="135" t="s">
        <v>2760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855</v>
      </c>
      <c r="H1254" s="127" t="s">
        <v>900</v>
      </c>
      <c r="I1254" s="127" t="s">
        <v>2753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1739</v>
      </c>
      <c r="AA1254" s="79"/>
    </row>
    <row r="1255" spans="1:27">
      <c r="A1255" s="135" t="s">
        <v>2759</v>
      </c>
      <c r="B1255" s="83" t="str">
        <f t="shared" si="307"/>
        <v>NAIKI_CHK_STS</v>
      </c>
      <c r="C1255" s="87" t="s">
        <v>2101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855</v>
      </c>
      <c r="H1255" s="127" t="s">
        <v>794</v>
      </c>
      <c r="I1255" s="127" t="s">
        <v>853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1739</v>
      </c>
      <c r="AA1255" s="79"/>
    </row>
    <row r="1256" spans="1:27">
      <c r="A1256" s="135" t="s">
        <v>2758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855</v>
      </c>
      <c r="H1256" s="127" t="s">
        <v>2754</v>
      </c>
      <c r="I1256" s="127" t="s">
        <v>183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1739</v>
      </c>
      <c r="AA1256" s="79"/>
    </row>
    <row r="1257" spans="1:27">
      <c r="A1257" s="135" t="s">
        <v>2757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855</v>
      </c>
      <c r="H1257" s="127" t="s">
        <v>2754</v>
      </c>
      <c r="I1257" s="127" t="s">
        <v>183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1739</v>
      </c>
      <c r="AA1257" s="79"/>
    </row>
    <row r="1258" spans="1:27">
      <c r="A1258" s="135" t="s">
        <v>2756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855</v>
      </c>
      <c r="H1258" s="127" t="s">
        <v>2754</v>
      </c>
      <c r="I1258" s="127" t="s">
        <v>2753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1739</v>
      </c>
      <c r="AA1258" s="79"/>
    </row>
    <row r="1259" spans="1:27">
      <c r="A1259" s="135" t="s">
        <v>2755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855</v>
      </c>
      <c r="H1259" s="127" t="s">
        <v>2754</v>
      </c>
      <c r="I1259" s="127" t="s">
        <v>2753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1739</v>
      </c>
      <c r="AA1259" s="79"/>
    </row>
    <row r="1260" spans="1:27">
      <c r="A1260" s="159" t="s">
        <v>2752</v>
      </c>
      <c r="B1260" s="83" t="str">
        <f t="shared" si="307"/>
        <v>NYUIN_FAMILY_FLG</v>
      </c>
      <c r="C1260" s="87" t="s">
        <v>1728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2533</v>
      </c>
      <c r="H1260" s="127" t="s">
        <v>261</v>
      </c>
      <c r="I1260" s="127" t="s">
        <v>465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1739</v>
      </c>
      <c r="AA1260" s="79"/>
    </row>
    <row r="1261" spans="1:27">
      <c r="A1261" s="158" t="s">
        <v>2751</v>
      </c>
      <c r="B1261" s="83" t="str">
        <f t="shared" si="307"/>
        <v>NYUIN_KYUFUKIN</v>
      </c>
      <c r="C1261" s="87" t="s">
        <v>2750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2533</v>
      </c>
      <c r="H1261" s="127" t="s">
        <v>2749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1739</v>
      </c>
      <c r="AA1261" s="79"/>
    </row>
    <row r="1262" spans="1:27">
      <c r="A1262" s="141" t="s">
        <v>2748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2533</v>
      </c>
      <c r="H1262" s="127" t="s">
        <v>2747</v>
      </c>
      <c r="I1262" s="127" t="s">
        <v>414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1739</v>
      </c>
      <c r="AA1262" s="79"/>
    </row>
    <row r="1263" spans="1:27">
      <c r="A1263" s="96" t="s">
        <v>2746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2533</v>
      </c>
      <c r="H1263" s="127" t="s">
        <v>830</v>
      </c>
      <c r="I1263" s="127" t="s">
        <v>391</v>
      </c>
      <c r="J1263" s="127" t="s">
        <v>183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1739</v>
      </c>
      <c r="AA1263" s="79"/>
    </row>
    <row r="1264" spans="1:27">
      <c r="A1264" s="141" t="s">
        <v>2745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2533</v>
      </c>
      <c r="H1264" s="127" t="s">
        <v>2532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1739</v>
      </c>
      <c r="AA1264" s="79"/>
    </row>
    <row r="1265" spans="1:27">
      <c r="A1265" s="141" t="s">
        <v>2744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2533</v>
      </c>
      <c r="H1265" s="127" t="s">
        <v>2532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1739</v>
      </c>
      <c r="AA1265" s="79"/>
    </row>
    <row r="1266" spans="1:27">
      <c r="A1266" s="141" t="s">
        <v>2743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2533</v>
      </c>
      <c r="H1266" s="127" t="s">
        <v>2532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1739</v>
      </c>
      <c r="AA1266" s="79"/>
    </row>
    <row r="1267" spans="1:27">
      <c r="A1267" s="96" t="s">
        <v>2742</v>
      </c>
      <c r="B1267" s="83" t="str">
        <f t="shared" si="307"/>
        <v>NYUKINJI_HARAIKATA_CD</v>
      </c>
      <c r="C1267" s="87" t="s">
        <v>1594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2741</v>
      </c>
      <c r="H1267" s="127" t="s">
        <v>104</v>
      </c>
      <c r="I1267" s="127" t="s">
        <v>183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1739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2740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1739</v>
      </c>
      <c r="AA1268" s="267" t="s">
        <v>6506</v>
      </c>
    </row>
    <row r="1269" spans="1:27">
      <c r="A1269" s="157" t="s">
        <v>2739</v>
      </c>
      <c r="B1269" s="83" t="str">
        <f t="shared" si="307"/>
        <v>NYUSHUMOTO</v>
      </c>
      <c r="C1269" s="87" t="s">
        <v>2097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2739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1487</v>
      </c>
      <c r="AA1269" s="79"/>
    </row>
    <row r="1270" spans="1:27">
      <c r="A1270" s="134" t="s">
        <v>2738</v>
      </c>
      <c r="B1270" s="83" t="str">
        <f t="shared" si="307"/>
        <v>NYUSHU_DATE</v>
      </c>
      <c r="C1270" s="87" t="s">
        <v>1483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2738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1739</v>
      </c>
      <c r="AA1270" s="79"/>
    </row>
    <row r="1271" spans="1:27">
      <c r="A1271" s="142" t="s">
        <v>2737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2704</v>
      </c>
      <c r="H1271" s="127" t="s">
        <v>392</v>
      </c>
      <c r="I1271" s="127" t="s">
        <v>391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1739</v>
      </c>
      <c r="AA1271" s="79"/>
    </row>
    <row r="1272" spans="1:27">
      <c r="A1272" s="96" t="s">
        <v>2736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2704</v>
      </c>
      <c r="H1272" s="127" t="s">
        <v>2735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1739</v>
      </c>
      <c r="AA1272" s="79"/>
    </row>
    <row r="1273" spans="1:27">
      <c r="A1273" s="96" t="s">
        <v>2734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2704</v>
      </c>
      <c r="H1273" s="127" t="s">
        <v>2455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1739</v>
      </c>
      <c r="AA1273" s="79"/>
    </row>
    <row r="1274" spans="1:27">
      <c r="A1274" s="96" t="s">
        <v>2733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2704</v>
      </c>
      <c r="H1274" s="127" t="s">
        <v>2732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1739</v>
      </c>
      <c r="AA1274" s="79"/>
    </row>
    <row r="1275" spans="1:27">
      <c r="A1275" s="96" t="s">
        <v>2731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1914</v>
      </c>
      <c r="H1275" s="127" t="s">
        <v>183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1739</v>
      </c>
      <c r="AA1275" s="79"/>
    </row>
    <row r="1276" spans="1:27">
      <c r="A1276" s="96" t="s">
        <v>2730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1914</v>
      </c>
      <c r="H1276" s="127" t="s">
        <v>183</v>
      </c>
      <c r="I1276" s="127" t="s">
        <v>1227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1739</v>
      </c>
      <c r="AA1276" s="79"/>
    </row>
    <row r="1277" spans="1:27">
      <c r="A1277" s="96" t="s">
        <v>2729</v>
      </c>
      <c r="B1277" s="83" t="str">
        <f t="shared" si="307"/>
        <v>NENKIN_MODE_FLG</v>
      </c>
      <c r="C1277" s="87" t="s">
        <v>1728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1914</v>
      </c>
      <c r="H1277" s="127" t="s">
        <v>2555</v>
      </c>
      <c r="I1277" s="127" t="s">
        <v>465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1739</v>
      </c>
      <c r="AA1277" s="79"/>
    </row>
    <row r="1278" spans="1:27">
      <c r="A1278" s="156" t="s">
        <v>2728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1914</v>
      </c>
      <c r="H1278" s="127" t="s">
        <v>1025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1487</v>
      </c>
      <c r="AA1278" s="79"/>
    </row>
    <row r="1279" spans="1:27">
      <c r="A1279" s="96" t="s">
        <v>2727</v>
      </c>
      <c r="B1279" s="83" t="str">
        <f t="shared" si="307"/>
        <v>NENKIN_SAIDO_KEISAN_FLG</v>
      </c>
      <c r="C1279" s="87" t="s">
        <v>1485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1914</v>
      </c>
      <c r="H1279" s="127" t="s">
        <v>2726</v>
      </c>
      <c r="I1279" s="127" t="s">
        <v>1292</v>
      </c>
      <c r="J1279" s="127" t="s">
        <v>465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1549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1914</v>
      </c>
      <c r="H1280" s="127" t="s">
        <v>831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1549</v>
      </c>
      <c r="AA1280" s="79"/>
    </row>
    <row r="1281" spans="1:27">
      <c r="A1281" s="135" t="s">
        <v>2725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1914</v>
      </c>
      <c r="H1281" s="127" t="s">
        <v>2329</v>
      </c>
      <c r="I1281" s="127" t="s">
        <v>1123</v>
      </c>
      <c r="J1281" s="127" t="s">
        <v>2328</v>
      </c>
      <c r="K1281" s="127" t="s">
        <v>177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1549</v>
      </c>
      <c r="AA1281" s="79"/>
    </row>
    <row r="1282" spans="1:27">
      <c r="A1282" s="135" t="s">
        <v>2724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1914</v>
      </c>
      <c r="H1282" s="127" t="s">
        <v>2329</v>
      </c>
      <c r="I1282" s="127" t="s">
        <v>205</v>
      </c>
      <c r="J1282" s="127" t="s">
        <v>2328</v>
      </c>
      <c r="K1282" s="127" t="s">
        <v>177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1549</v>
      </c>
      <c r="AA1282" s="79"/>
    </row>
    <row r="1283" spans="1:27">
      <c r="A1283" s="138" t="s">
        <v>2723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1914</v>
      </c>
      <c r="H1283" s="127" t="s">
        <v>1827</v>
      </c>
      <c r="I1283" s="127" t="s">
        <v>2722</v>
      </c>
      <c r="J1283" s="127" t="s">
        <v>2721</v>
      </c>
      <c r="K1283" s="127" t="s">
        <v>1849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1739</v>
      </c>
      <c r="AA1283" s="79"/>
    </row>
    <row r="1284" spans="1:27">
      <c r="A1284" s="154" t="s">
        <v>2720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1914</v>
      </c>
      <c r="H1284" s="127" t="s">
        <v>2719</v>
      </c>
      <c r="I1284" s="127" t="s">
        <v>2718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1739</v>
      </c>
      <c r="AA1284" s="79"/>
    </row>
    <row r="1285" spans="1:27">
      <c r="A1285" s="142" t="s">
        <v>2717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2715</v>
      </c>
      <c r="H1285" s="127" t="s">
        <v>955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1739</v>
      </c>
      <c r="AA1285" s="79"/>
    </row>
    <row r="1286" spans="1:27">
      <c r="A1286" s="142" t="s">
        <v>2716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2715</v>
      </c>
      <c r="H1286" s="127" t="s">
        <v>2714</v>
      </c>
      <c r="I1286" s="127" t="s">
        <v>955</v>
      </c>
      <c r="J1286" s="127" t="s">
        <v>2713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182</v>
      </c>
      <c r="AA1286" s="79"/>
    </row>
    <row r="1287" spans="1:27">
      <c r="A1287" s="135" t="s">
        <v>2712</v>
      </c>
      <c r="B1287" s="83" t="str">
        <f t="shared" si="323"/>
        <v>NENKIMBARAI_RIDER_KB</v>
      </c>
      <c r="C1287" s="87" t="s">
        <v>180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2711</v>
      </c>
      <c r="H1287" s="127" t="s">
        <v>764</v>
      </c>
      <c r="I1287" s="127" t="s">
        <v>180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1739</v>
      </c>
      <c r="AA1287" s="79"/>
    </row>
    <row r="1288" spans="1:27">
      <c r="A1288" s="96" t="s">
        <v>2710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1914</v>
      </c>
      <c r="H1288" s="127" t="s">
        <v>391</v>
      </c>
      <c r="I1288" s="127" t="s">
        <v>207</v>
      </c>
      <c r="J1288" s="127" t="s">
        <v>2704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1739</v>
      </c>
      <c r="AA1288" s="79"/>
    </row>
    <row r="1289" spans="1:27">
      <c r="A1289" s="96" t="s">
        <v>2709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1914</v>
      </c>
      <c r="H1289" s="127" t="s">
        <v>391</v>
      </c>
      <c r="I1289" s="127" t="s">
        <v>2708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1739</v>
      </c>
      <c r="AA1289" s="79"/>
    </row>
    <row r="1290" spans="1:27">
      <c r="A1290" s="96" t="s">
        <v>2707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1914</v>
      </c>
      <c r="H1290" s="127" t="s">
        <v>391</v>
      </c>
      <c r="I1290" s="127" t="s">
        <v>2706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1739</v>
      </c>
      <c r="AA1290" s="79"/>
    </row>
    <row r="1291" spans="1:27">
      <c r="A1291" s="96" t="s">
        <v>2705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1914</v>
      </c>
      <c r="H1291" s="127" t="s">
        <v>391</v>
      </c>
      <c r="I1291" s="127" t="s">
        <v>2704</v>
      </c>
      <c r="J1291" s="127" t="s">
        <v>1314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1739</v>
      </c>
      <c r="AA1291" s="79"/>
    </row>
    <row r="1292" spans="1:27">
      <c r="A1292" s="96" t="s">
        <v>2703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1914</v>
      </c>
      <c r="H1292" s="127" t="s">
        <v>391</v>
      </c>
      <c r="I1292" s="127" t="s">
        <v>2702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1739</v>
      </c>
      <c r="AA1292" s="79"/>
    </row>
    <row r="1293" spans="1:27">
      <c r="A1293" s="96" t="s">
        <v>2701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1914</v>
      </c>
      <c r="H1293" s="127" t="s">
        <v>2700</v>
      </c>
      <c r="I1293" s="127" t="s">
        <v>864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1739</v>
      </c>
      <c r="AA1293" s="79"/>
    </row>
    <row r="1294" spans="1:27">
      <c r="A1294" s="133" t="s">
        <v>1000</v>
      </c>
      <c r="B1294" s="83" t="str">
        <f t="shared" si="323"/>
        <v>NENSHU</v>
      </c>
      <c r="C1294" s="87" t="s">
        <v>753</v>
      </c>
      <c r="D1294" s="82" t="str">
        <f t="shared" si="320"/>
        <v>Number</v>
      </c>
      <c r="E1294" s="82">
        <f t="shared" si="321"/>
        <v>11</v>
      </c>
      <c r="F1294" s="82" t="str">
        <f t="shared" si="322"/>
        <v/>
      </c>
      <c r="G1294" s="128" t="s">
        <v>1000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1739</v>
      </c>
      <c r="AA1294" s="79"/>
    </row>
    <row r="1295" spans="1:27">
      <c r="A1295" s="96" t="s">
        <v>2699</v>
      </c>
      <c r="B1295" s="83" t="str">
        <f t="shared" si="323"/>
        <v>NENSHU_SHISHUTSU_GAKU</v>
      </c>
      <c r="C1295" s="87" t="s">
        <v>753</v>
      </c>
      <c r="D1295" s="82" t="str">
        <f t="shared" si="320"/>
        <v>Number</v>
      </c>
      <c r="E1295" s="82">
        <f t="shared" si="321"/>
        <v>11</v>
      </c>
      <c r="F1295" s="82" t="str">
        <f t="shared" si="322"/>
        <v/>
      </c>
      <c r="G1295" s="128" t="s">
        <v>1000</v>
      </c>
      <c r="H1295" s="127" t="s">
        <v>2698</v>
      </c>
      <c r="I1295" s="127" t="s">
        <v>2213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1739</v>
      </c>
      <c r="AA1295" s="79"/>
    </row>
    <row r="1296" spans="1:27">
      <c r="A1296" s="96" t="s">
        <v>2697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2696</v>
      </c>
      <c r="H1296" s="127" t="s">
        <v>428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1739</v>
      </c>
      <c r="AA1296" s="79"/>
    </row>
    <row r="1297" spans="1:27">
      <c r="A1297" s="142" t="s">
        <v>2695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2694</v>
      </c>
      <c r="H1297" s="127" t="s">
        <v>2693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1739</v>
      </c>
      <c r="AA1297" s="79"/>
    </row>
    <row r="1298" spans="1:27">
      <c r="A1298" s="96" t="s">
        <v>2692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2691</v>
      </c>
      <c r="H1298" s="127" t="s">
        <v>183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1739</v>
      </c>
      <c r="AA1298" s="79"/>
    </row>
    <row r="1299" spans="1:27">
      <c r="A1299" s="96" t="s">
        <v>2690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357</v>
      </c>
      <c r="H1299" s="127" t="s">
        <v>2618</v>
      </c>
      <c r="I1299" s="127" t="s">
        <v>2620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1739</v>
      </c>
      <c r="AA1299" s="79"/>
    </row>
    <row r="1300" spans="1:27">
      <c r="A1300" s="96" t="s">
        <v>2689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357</v>
      </c>
      <c r="H1300" s="127" t="s">
        <v>2618</v>
      </c>
      <c r="I1300" s="127" t="s">
        <v>2617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1739</v>
      </c>
      <c r="AA1300" s="79"/>
    </row>
    <row r="1301" spans="1:27">
      <c r="A1301" s="96" t="s">
        <v>2688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1227</v>
      </c>
      <c r="H1301" s="127" t="s">
        <v>2686</v>
      </c>
      <c r="I1301" s="127" t="s">
        <v>2685</v>
      </c>
      <c r="J1301" s="127" t="s">
        <v>2303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1739</v>
      </c>
      <c r="AA1301" s="79"/>
    </row>
    <row r="1302" spans="1:27">
      <c r="A1302" s="96" t="s">
        <v>2687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1227</v>
      </c>
      <c r="H1302" s="127" t="s">
        <v>2686</v>
      </c>
      <c r="I1302" s="127" t="s">
        <v>2685</v>
      </c>
      <c r="J1302" s="127" t="s">
        <v>2684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1739</v>
      </c>
      <c r="AA1302" s="79"/>
    </row>
    <row r="1303" spans="1:27">
      <c r="A1303" s="151" t="s">
        <v>2683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1227</v>
      </c>
      <c r="H1303" s="127" t="s">
        <v>207</v>
      </c>
      <c r="I1303" s="127" t="s">
        <v>2681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1739</v>
      </c>
      <c r="AA1303" s="79"/>
    </row>
    <row r="1304" spans="1:27">
      <c r="A1304" s="151" t="s">
        <v>2682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1227</v>
      </c>
      <c r="H1304" s="127" t="s">
        <v>207</v>
      </c>
      <c r="I1304" s="127" t="s">
        <v>2681</v>
      </c>
      <c r="J1304" s="127" t="s">
        <v>864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1739</v>
      </c>
      <c r="AA1304" s="79"/>
    </row>
    <row r="1305" spans="1:27">
      <c r="A1305" s="96" t="s">
        <v>2680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1227</v>
      </c>
      <c r="H1305" s="127" t="s">
        <v>341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1739</v>
      </c>
      <c r="AA1305" s="79"/>
    </row>
    <row r="1306" spans="1:27">
      <c r="A1306" s="155" t="s">
        <v>2679</v>
      </c>
      <c r="B1306" s="83" t="str">
        <f t="shared" si="323"/>
        <v>SPOUSE_FLG</v>
      </c>
      <c r="C1306" s="87" t="s">
        <v>1728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1227</v>
      </c>
      <c r="H1306" s="127" t="s">
        <v>465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1739</v>
      </c>
      <c r="AA1306" s="79"/>
    </row>
    <row r="1307" spans="1:27">
      <c r="A1307" s="152" t="s">
        <v>2678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1227</v>
      </c>
      <c r="H1307" s="127" t="s">
        <v>2677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1739</v>
      </c>
      <c r="AA1307" s="79"/>
    </row>
    <row r="1308" spans="1:27">
      <c r="A1308" s="143" t="s">
        <v>2676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1227</v>
      </c>
      <c r="H1308" s="127" t="s">
        <v>202</v>
      </c>
      <c r="I1308" s="127" t="s">
        <v>2570</v>
      </c>
      <c r="J1308" s="127" t="s">
        <v>2399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1739</v>
      </c>
      <c r="AA1308" s="79"/>
    </row>
    <row r="1309" spans="1:27">
      <c r="A1309" s="143" t="s">
        <v>2675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1227</v>
      </c>
      <c r="H1309" s="127" t="s">
        <v>202</v>
      </c>
      <c r="I1309" s="127" t="s">
        <v>2570</v>
      </c>
      <c r="J1309" s="127" t="s">
        <v>2399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1739</v>
      </c>
      <c r="AA1309" s="79"/>
    </row>
    <row r="1310" spans="1:27">
      <c r="A1310" s="143" t="s">
        <v>2674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1227</v>
      </c>
      <c r="H1310" s="127" t="s">
        <v>202</v>
      </c>
      <c r="I1310" s="127" t="s">
        <v>2570</v>
      </c>
      <c r="J1310" s="127" t="s">
        <v>2399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1739</v>
      </c>
      <c r="AA1310" s="79"/>
    </row>
    <row r="1311" spans="1:27">
      <c r="A1311" s="143" t="s">
        <v>2673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1227</v>
      </c>
      <c r="H1311" s="127" t="s">
        <v>202</v>
      </c>
      <c r="I1311" s="127" t="s">
        <v>2570</v>
      </c>
      <c r="J1311" s="127" t="s">
        <v>2394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1739</v>
      </c>
      <c r="AA1311" s="79"/>
    </row>
    <row r="1312" spans="1:27">
      <c r="A1312" s="143" t="s">
        <v>2672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1227</v>
      </c>
      <c r="H1312" s="127" t="s">
        <v>202</v>
      </c>
      <c r="I1312" s="127" t="s">
        <v>2570</v>
      </c>
      <c r="J1312" s="127" t="s">
        <v>2394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1739</v>
      </c>
      <c r="AA1312" s="79"/>
    </row>
    <row r="1313" spans="1:27">
      <c r="A1313" s="143" t="s">
        <v>2671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1227</v>
      </c>
      <c r="H1313" s="127" t="s">
        <v>202</v>
      </c>
      <c r="I1313" s="127" t="s">
        <v>2570</v>
      </c>
      <c r="J1313" s="127" t="s">
        <v>2394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1739</v>
      </c>
      <c r="AA1313" s="79"/>
    </row>
    <row r="1314" spans="1:27">
      <c r="A1314" s="96" t="s">
        <v>2670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1227</v>
      </c>
      <c r="H1314" s="127" t="s">
        <v>2669</v>
      </c>
      <c r="I1314" s="127" t="s">
        <v>1849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1739</v>
      </c>
      <c r="AA1314" s="79"/>
    </row>
    <row r="1315" spans="1:27">
      <c r="A1315" s="96" t="s">
        <v>2668</v>
      </c>
      <c r="B1315" s="83" t="str">
        <f t="shared" si="323"/>
        <v>SPOUSE_SHIGOTO_UMU_FLG</v>
      </c>
      <c r="C1315" s="87" t="s">
        <v>1728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1227</v>
      </c>
      <c r="H1315" s="127" t="s">
        <v>2667</v>
      </c>
      <c r="I1315" s="127" t="s">
        <v>341</v>
      </c>
      <c r="J1315" s="127" t="s">
        <v>465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1739</v>
      </c>
      <c r="AA1315" s="79"/>
    </row>
    <row r="1316" spans="1:27">
      <c r="A1316" s="96" t="s">
        <v>2666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1227</v>
      </c>
      <c r="H1316" s="127" t="s">
        <v>2412</v>
      </c>
      <c r="I1316" s="127" t="s">
        <v>843</v>
      </c>
      <c r="J1316" s="127" t="s">
        <v>2662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1739</v>
      </c>
      <c r="AA1316" s="79"/>
    </row>
    <row r="1317" spans="1:27">
      <c r="A1317" s="96" t="s">
        <v>2665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1227</v>
      </c>
      <c r="H1317" s="127" t="s">
        <v>2412</v>
      </c>
      <c r="I1317" s="127" t="s">
        <v>843</v>
      </c>
      <c r="J1317" s="127" t="s">
        <v>2662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1739</v>
      </c>
      <c r="AA1317" s="79"/>
    </row>
    <row r="1318" spans="1:27">
      <c r="A1318" s="96" t="s">
        <v>2664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1227</v>
      </c>
      <c r="H1318" s="127" t="s">
        <v>2412</v>
      </c>
      <c r="I1318" s="127" t="s">
        <v>843</v>
      </c>
      <c r="J1318" s="127" t="s">
        <v>2662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1739</v>
      </c>
      <c r="AA1318" s="79"/>
    </row>
    <row r="1319" spans="1:27">
      <c r="A1319" s="96" t="s">
        <v>2663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1227</v>
      </c>
      <c r="H1319" s="127" t="s">
        <v>2412</v>
      </c>
      <c r="I1319" s="127" t="s">
        <v>843</v>
      </c>
      <c r="J1319" s="127" t="s">
        <v>2662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1739</v>
      </c>
      <c r="AA1319" s="79"/>
    </row>
    <row r="1320" spans="1:27">
      <c r="A1320" s="152" t="s">
        <v>2661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1227</v>
      </c>
      <c r="H1320" s="127" t="s">
        <v>2334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1739</v>
      </c>
      <c r="AA1320" s="79"/>
    </row>
    <row r="1321" spans="1:27">
      <c r="A1321" s="96" t="s">
        <v>2660</v>
      </c>
      <c r="B1321" s="83" t="str">
        <f t="shared" si="323"/>
        <v>SPOUSE_JITSUZAI_FLG</v>
      </c>
      <c r="C1321" s="87" t="s">
        <v>1728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1227</v>
      </c>
      <c r="H1321" s="127" t="s">
        <v>2659</v>
      </c>
      <c r="I1321" s="127" t="s">
        <v>465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1739</v>
      </c>
      <c r="AA1321" s="79"/>
    </row>
    <row r="1322" spans="1:27">
      <c r="A1322" s="96" t="s">
        <v>2658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1227</v>
      </c>
      <c r="H1322" s="127" t="s">
        <v>2657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1739</v>
      </c>
      <c r="AA1322" s="79"/>
    </row>
    <row r="1323" spans="1:27">
      <c r="A1323" s="96" t="s">
        <v>2656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1227</v>
      </c>
      <c r="H1323" s="127" t="s">
        <v>2580</v>
      </c>
      <c r="I1323" s="127" t="s">
        <v>2452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1739</v>
      </c>
      <c r="AA1323" s="79"/>
    </row>
    <row r="1324" spans="1:27">
      <c r="A1324" s="96" t="s">
        <v>2655</v>
      </c>
      <c r="B1324" s="83" t="str">
        <f t="shared" si="323"/>
        <v>SPOUSE_JOB_CD</v>
      </c>
      <c r="C1324" s="87" t="s">
        <v>2193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1227</v>
      </c>
      <c r="H1324" s="127" t="s">
        <v>2654</v>
      </c>
      <c r="I1324" s="97" t="s">
        <v>1737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1739</v>
      </c>
      <c r="AA1324" s="79"/>
    </row>
    <row r="1325" spans="1:27">
      <c r="A1325" s="154" t="s">
        <v>2653</v>
      </c>
      <c r="B1325" s="83" t="str">
        <f t="shared" si="323"/>
        <v>SPOUSE_SEX_CD</v>
      </c>
      <c r="C1325" s="87" t="s">
        <v>1619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1227</v>
      </c>
      <c r="H1325" s="127" t="s">
        <v>129</v>
      </c>
      <c r="I1325" s="127" t="s">
        <v>1737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1487</v>
      </c>
      <c r="AA1325" s="79"/>
    </row>
    <row r="1326" spans="1:27">
      <c r="A1326" s="153" t="s">
        <v>2652</v>
      </c>
      <c r="B1326" s="83" t="str">
        <f t="shared" si="323"/>
        <v>SPOUSE_BIRTH</v>
      </c>
      <c r="C1326" s="87" t="s">
        <v>1483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1227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1739</v>
      </c>
      <c r="AA1326" s="79"/>
    </row>
    <row r="1327" spans="1:27">
      <c r="A1327" s="151" t="s">
        <v>2651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1227</v>
      </c>
      <c r="H1327" s="127" t="s">
        <v>2650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1739</v>
      </c>
      <c r="AA1327" s="79"/>
    </row>
    <row r="1328" spans="1:27">
      <c r="A1328" s="96" t="s">
        <v>2649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1227</v>
      </c>
      <c r="H1328" s="127" t="s">
        <v>431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1739</v>
      </c>
      <c r="AA1328" s="79"/>
    </row>
    <row r="1329" spans="1:27">
      <c r="A1329" s="96" t="s">
        <v>2648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1227</v>
      </c>
      <c r="H1329" s="127" t="s">
        <v>431</v>
      </c>
      <c r="I1329" s="127" t="s">
        <v>2274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1739</v>
      </c>
      <c r="AA1329" s="79"/>
    </row>
    <row r="1330" spans="1:27">
      <c r="A1330" s="96" t="s">
        <v>2647</v>
      </c>
      <c r="B1330" s="83" t="str">
        <f t="shared" si="323"/>
        <v>SPOUSE_NENSHU</v>
      </c>
      <c r="C1330" s="87" t="s">
        <v>753</v>
      </c>
      <c r="D1330" s="82" t="str">
        <f t="shared" si="336"/>
        <v>Number</v>
      </c>
      <c r="E1330" s="82">
        <f t="shared" si="337"/>
        <v>11</v>
      </c>
      <c r="F1330" s="82" t="str">
        <f t="shared" si="338"/>
        <v/>
      </c>
      <c r="G1330" s="128" t="s">
        <v>1227</v>
      </c>
      <c r="H1330" s="127" t="s">
        <v>1000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1739</v>
      </c>
      <c r="AA1330" s="79"/>
    </row>
    <row r="1331" spans="1:27">
      <c r="A1331" s="152" t="s">
        <v>2646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1227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1739</v>
      </c>
      <c r="AA1331" s="79"/>
    </row>
    <row r="1332" spans="1:27">
      <c r="A1332" s="96" t="s">
        <v>2645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1227</v>
      </c>
      <c r="H1332" s="127" t="s">
        <v>2403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1739</v>
      </c>
      <c r="AA1332" s="79"/>
    </row>
    <row r="1333" spans="1:27">
      <c r="A1333" s="143" t="s">
        <v>2644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1227</v>
      </c>
      <c r="H1333" s="127" t="s">
        <v>2403</v>
      </c>
      <c r="I1333" s="127"/>
      <c r="J1333" s="127" t="s">
        <v>2399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1739</v>
      </c>
      <c r="AA1333" s="79"/>
    </row>
    <row r="1334" spans="1:27">
      <c r="A1334" s="143" t="s">
        <v>2643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1227</v>
      </c>
      <c r="H1334" s="127" t="s">
        <v>2403</v>
      </c>
      <c r="I1334" s="127"/>
      <c r="J1334" s="127" t="s">
        <v>2399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1739</v>
      </c>
      <c r="AA1334" s="79"/>
    </row>
    <row r="1335" spans="1:27">
      <c r="A1335" s="143" t="s">
        <v>2642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1227</v>
      </c>
      <c r="H1335" s="127" t="s">
        <v>2403</v>
      </c>
      <c r="I1335" s="127"/>
      <c r="J1335" s="127" t="s">
        <v>2399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1739</v>
      </c>
      <c r="AA1335" s="79"/>
    </row>
    <row r="1336" spans="1:27">
      <c r="A1336" s="143" t="s">
        <v>2641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1227</v>
      </c>
      <c r="H1336" s="127" t="s">
        <v>2403</v>
      </c>
      <c r="I1336" s="127"/>
      <c r="J1336" s="127" t="s">
        <v>2394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1739</v>
      </c>
      <c r="AA1336" s="79"/>
    </row>
    <row r="1337" spans="1:27">
      <c r="A1337" s="143" t="s">
        <v>2640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1227</v>
      </c>
      <c r="H1337" s="127" t="s">
        <v>2403</v>
      </c>
      <c r="I1337" s="127"/>
      <c r="J1337" s="127" t="s">
        <v>2394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1739</v>
      </c>
      <c r="AA1337" s="79"/>
    </row>
    <row r="1338" spans="1:27">
      <c r="A1338" s="143" t="s">
        <v>2639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1227</v>
      </c>
      <c r="H1338" s="127" t="s">
        <v>2403</v>
      </c>
      <c r="I1338" s="127"/>
      <c r="J1338" s="127" t="s">
        <v>2394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1739</v>
      </c>
      <c r="AA1338" s="79"/>
    </row>
    <row r="1339" spans="1:27">
      <c r="A1339" s="96" t="s">
        <v>2638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1227</v>
      </c>
      <c r="H1339" s="127" t="s">
        <v>2395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1739</v>
      </c>
      <c r="AA1339" s="79"/>
    </row>
    <row r="1340" spans="1:27">
      <c r="A1340" s="143" t="s">
        <v>2637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1227</v>
      </c>
      <c r="H1340" s="127" t="s">
        <v>2395</v>
      </c>
      <c r="I1340" s="127"/>
      <c r="J1340" s="127" t="s">
        <v>2399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1739</v>
      </c>
      <c r="AA1340" s="79"/>
    </row>
    <row r="1341" spans="1:27">
      <c r="A1341" s="143" t="s">
        <v>2636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1227</v>
      </c>
      <c r="H1341" s="127" t="s">
        <v>2395</v>
      </c>
      <c r="I1341" s="127" t="s">
        <v>2399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1739</v>
      </c>
      <c r="AA1341" s="79"/>
    </row>
    <row r="1342" spans="1:27">
      <c r="A1342" s="143" t="s">
        <v>2635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1227</v>
      </c>
      <c r="H1342" s="127" t="s">
        <v>2395</v>
      </c>
      <c r="I1342" s="127" t="s">
        <v>2399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1739</v>
      </c>
      <c r="AA1342" s="79"/>
    </row>
    <row r="1343" spans="1:27">
      <c r="A1343" s="143" t="s">
        <v>2634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1227</v>
      </c>
      <c r="H1343" s="127" t="s">
        <v>2395</v>
      </c>
      <c r="I1343" s="127"/>
      <c r="J1343" s="127" t="s">
        <v>2394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1739</v>
      </c>
      <c r="AA1343" s="79"/>
    </row>
    <row r="1344" spans="1:27">
      <c r="A1344" s="143" t="s">
        <v>2633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1227</v>
      </c>
      <c r="H1344" s="127" t="s">
        <v>2395</v>
      </c>
      <c r="I1344" s="127"/>
      <c r="J1344" s="127" t="s">
        <v>2394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1739</v>
      </c>
      <c r="AA1344" s="79"/>
    </row>
    <row r="1345" spans="1:27">
      <c r="A1345" s="143" t="s">
        <v>2632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1227</v>
      </c>
      <c r="H1345" s="127" t="s">
        <v>2395</v>
      </c>
      <c r="I1345" s="127"/>
      <c r="J1345" s="127" t="s">
        <v>2394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1739</v>
      </c>
      <c r="AA1345" s="79"/>
    </row>
    <row r="1346" spans="1:27">
      <c r="A1346" s="96" t="s">
        <v>2631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1227</v>
      </c>
      <c r="H1346" s="127" t="s">
        <v>341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1739</v>
      </c>
      <c r="AA1346" s="79"/>
    </row>
    <row r="1347" spans="1:27">
      <c r="A1347" s="96" t="s">
        <v>2630</v>
      </c>
      <c r="B1347" s="83" t="str">
        <f t="shared" si="339"/>
        <v>SPOUSE_UMU_FLG</v>
      </c>
      <c r="C1347" s="87" t="s">
        <v>1728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1227</v>
      </c>
      <c r="H1347" s="127" t="s">
        <v>341</v>
      </c>
      <c r="I1347" s="127" t="s">
        <v>465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1739</v>
      </c>
      <c r="AA1347" s="79"/>
    </row>
    <row r="1348" spans="1:27">
      <c r="A1348" s="151" t="s">
        <v>2629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1227</v>
      </c>
      <c r="H1348" s="127" t="s">
        <v>2628</v>
      </c>
      <c r="I1348" s="127" t="s">
        <v>1914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1739</v>
      </c>
      <c r="AA1348" s="79"/>
    </row>
    <row r="1349" spans="1:27">
      <c r="A1349" s="88" t="s">
        <v>2627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2624</v>
      </c>
      <c r="H1349" s="127" t="s">
        <v>849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1739</v>
      </c>
      <c r="AA1349" s="79"/>
    </row>
    <row r="1350" spans="1:27">
      <c r="A1350" s="96" t="s">
        <v>2626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2624</v>
      </c>
      <c r="H1350" s="127" t="s">
        <v>1025</v>
      </c>
      <c r="I1350" s="127" t="s">
        <v>461</v>
      </c>
      <c r="J1350" s="127" t="s">
        <v>183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1739</v>
      </c>
      <c r="AA1350" s="79"/>
    </row>
    <row r="1351" spans="1:27">
      <c r="A1351" s="138" t="s">
        <v>2625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2624</v>
      </c>
      <c r="H1351" s="127" t="s">
        <v>2623</v>
      </c>
      <c r="I1351" s="127" t="s">
        <v>1235</v>
      </c>
      <c r="J1351" s="127" t="s">
        <v>2622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1739</v>
      </c>
      <c r="AA1351" s="79"/>
    </row>
    <row r="1352" spans="1:27">
      <c r="A1352" s="96" t="s">
        <v>2621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355</v>
      </c>
      <c r="H1352" s="127" t="s">
        <v>2618</v>
      </c>
      <c r="I1352" s="127" t="s">
        <v>2620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1739</v>
      </c>
      <c r="AA1352" s="79"/>
    </row>
    <row r="1353" spans="1:27">
      <c r="A1353" s="96" t="s">
        <v>2619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355</v>
      </c>
      <c r="H1353" s="127" t="s">
        <v>2618</v>
      </c>
      <c r="I1353" s="127" t="s">
        <v>2617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1739</v>
      </c>
      <c r="AA1353" s="79"/>
    </row>
    <row r="1354" spans="1:27">
      <c r="A1354" s="142" t="s">
        <v>2616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2615</v>
      </c>
      <c r="H1354" s="127" t="s">
        <v>2614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1739</v>
      </c>
      <c r="AA1354" s="79"/>
    </row>
    <row r="1355" spans="1:27">
      <c r="A1355" s="135" t="s">
        <v>6370</v>
      </c>
      <c r="B1355" s="83" t="str">
        <f t="shared" si="339"/>
        <v>INSURED_ID</v>
      </c>
      <c r="C1355" s="87" t="s">
        <v>6370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205</v>
      </c>
      <c r="H1355" s="127" t="s">
        <v>746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1739</v>
      </c>
      <c r="AA1355" s="79"/>
    </row>
    <row r="1356" spans="1:27">
      <c r="A1356" s="141" t="s">
        <v>2613</v>
      </c>
      <c r="B1356" s="83" t="str">
        <f t="shared" si="339"/>
        <v>INSURED_INTERVIEW_PLACE_FLG</v>
      </c>
      <c r="C1356" s="87" t="s">
        <v>1728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205</v>
      </c>
      <c r="H1356" s="127" t="s">
        <v>2314</v>
      </c>
      <c r="I1356" s="127" t="s">
        <v>2313</v>
      </c>
      <c r="J1356" s="127" t="s">
        <v>465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1739</v>
      </c>
      <c r="AA1356" s="79"/>
    </row>
    <row r="1357" spans="1:27">
      <c r="A1357" s="141" t="s">
        <v>2612</v>
      </c>
      <c r="B1357" s="83" t="str">
        <f t="shared" si="339"/>
        <v>INSURED_KIMMUSAKI</v>
      </c>
      <c r="C1357" s="87" t="s">
        <v>2147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205</v>
      </c>
      <c r="H1357" s="127" t="s">
        <v>1837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1739</v>
      </c>
      <c r="AA1357" s="79"/>
    </row>
    <row r="1358" spans="1:27">
      <c r="A1358" s="141" t="s">
        <v>2611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205</v>
      </c>
      <c r="H1358" s="127" t="s">
        <v>451</v>
      </c>
      <c r="I1358" s="127" t="s">
        <v>375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1739</v>
      </c>
      <c r="AA1358" s="79"/>
    </row>
    <row r="1359" spans="1:27">
      <c r="A1359" s="141" t="s">
        <v>2610</v>
      </c>
      <c r="B1359" s="83" t="str">
        <f t="shared" si="339"/>
        <v>INSURED_SHOKUMU_C</v>
      </c>
      <c r="C1359" s="87" t="s">
        <v>2145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205</v>
      </c>
      <c r="H1359" s="127" t="s">
        <v>881</v>
      </c>
      <c r="I1359" s="127" t="s">
        <v>375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1739</v>
      </c>
      <c r="AA1359" s="79"/>
    </row>
    <row r="1360" spans="1:27">
      <c r="A1360" s="141" t="s">
        <v>2609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205</v>
      </c>
      <c r="H1360" s="127" t="s">
        <v>375</v>
      </c>
      <c r="I1360" s="127" t="s">
        <v>2608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1739</v>
      </c>
      <c r="AA1360" s="79"/>
    </row>
    <row r="1361" spans="1:27">
      <c r="A1361" s="138" t="s">
        <v>2607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205</v>
      </c>
      <c r="H1361" s="127" t="s">
        <v>1988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1739</v>
      </c>
      <c r="AA1361" s="79"/>
    </row>
    <row r="1362" spans="1:27">
      <c r="A1362" s="135" t="s">
        <v>2606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205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1739</v>
      </c>
      <c r="AA1362" s="79"/>
    </row>
    <row r="1363" spans="1:27">
      <c r="A1363" s="135" t="s">
        <v>2605</v>
      </c>
      <c r="B1363" s="83" t="str">
        <f t="shared" si="339"/>
        <v>INSURED_ADDR_KANA</v>
      </c>
      <c r="C1363" s="87" t="s">
        <v>578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205</v>
      </c>
      <c r="H1363" s="127" t="s">
        <v>1844</v>
      </c>
      <c r="I1363" s="127" t="s">
        <v>2303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1739</v>
      </c>
      <c r="AA1363" s="79"/>
    </row>
    <row r="1364" spans="1:27">
      <c r="A1364" s="135" t="s">
        <v>2604</v>
      </c>
      <c r="B1364" s="83" t="str">
        <f t="shared" si="339"/>
        <v>INSURED_ADDR</v>
      </c>
      <c r="C1364" s="87" t="s">
        <v>2603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205</v>
      </c>
      <c r="H1364" s="127" t="s">
        <v>1844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1739</v>
      </c>
      <c r="AA1364" s="79"/>
    </row>
    <row r="1365" spans="1:27">
      <c r="A1365" s="135" t="s">
        <v>2602</v>
      </c>
      <c r="B1365" s="83" t="str">
        <f t="shared" si="339"/>
        <v>INSURED_TEL_NO</v>
      </c>
      <c r="C1365" s="87" t="s">
        <v>2447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205</v>
      </c>
      <c r="H1365" s="127" t="s">
        <v>2151</v>
      </c>
      <c r="I1365" s="127" t="s">
        <v>1890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1739</v>
      </c>
      <c r="AA1365" s="79"/>
    </row>
    <row r="1366" spans="1:27">
      <c r="A1366" s="135" t="s">
        <v>2601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205</v>
      </c>
      <c r="H1366" s="127" t="s">
        <v>2430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1739</v>
      </c>
      <c r="AA1366" s="79"/>
    </row>
    <row r="1367" spans="1:27">
      <c r="A1367" s="96" t="s">
        <v>2600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205</v>
      </c>
      <c r="H1367" s="127" t="s">
        <v>2599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365</v>
      </c>
      <c r="AA1367" s="79"/>
    </row>
    <row r="1368" spans="1:27">
      <c r="A1368" s="138" t="s">
        <v>2598</v>
      </c>
      <c r="B1368" s="83" t="str">
        <f t="shared" si="339"/>
        <v>INSURED_NAME</v>
      </c>
      <c r="C1368" s="87" t="s">
        <v>559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205</v>
      </c>
      <c r="H1368" s="127" t="s">
        <v>2334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365</v>
      </c>
      <c r="AA1368" s="79"/>
    </row>
    <row r="1369" spans="1:27">
      <c r="A1369" s="143" t="s">
        <v>2597</v>
      </c>
      <c r="B1369" s="83" t="str">
        <f t="shared" si="339"/>
        <v>INSURED_NAME_KANA</v>
      </c>
      <c r="C1369" s="87" t="s">
        <v>2336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205</v>
      </c>
      <c r="H1369" s="127" t="s">
        <v>559</v>
      </c>
      <c r="I1369" s="127" t="s">
        <v>2596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1739</v>
      </c>
      <c r="AA1369" s="79"/>
    </row>
    <row r="1370" spans="1:27">
      <c r="A1370" s="135" t="s">
        <v>2595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205</v>
      </c>
      <c r="H1370" s="127" t="s">
        <v>1844</v>
      </c>
      <c r="I1370" s="127" t="s">
        <v>2594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1739</v>
      </c>
      <c r="AA1370" s="79"/>
    </row>
    <row r="1371" spans="1:27">
      <c r="A1371" s="96" t="s">
        <v>2593</v>
      </c>
      <c r="B1371" s="83" t="str">
        <f t="shared" si="339"/>
        <v>INSURED_CNT</v>
      </c>
      <c r="C1371" s="87" t="s">
        <v>1946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205</v>
      </c>
      <c r="H1371" s="127" t="s">
        <v>1944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1739</v>
      </c>
      <c r="AA1371" s="79"/>
    </row>
    <row r="1372" spans="1:27">
      <c r="A1372" s="143" t="s">
        <v>2592</v>
      </c>
      <c r="B1372" s="83" t="str">
        <f t="shared" si="339"/>
        <v>INSURED_SEX_CD</v>
      </c>
      <c r="C1372" s="87" t="s">
        <v>1619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205</v>
      </c>
      <c r="H1372" s="127" t="s">
        <v>129</v>
      </c>
      <c r="I1372" s="127" t="s">
        <v>1737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1487</v>
      </c>
      <c r="AA1372" s="79"/>
    </row>
    <row r="1373" spans="1:27">
      <c r="A1373" s="143" t="s">
        <v>2591</v>
      </c>
      <c r="B1373" s="83" t="str">
        <f t="shared" si="339"/>
        <v>INSURED_BIRTH</v>
      </c>
      <c r="C1373" s="87" t="s">
        <v>1483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205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1739</v>
      </c>
      <c r="AA1373" s="79"/>
    </row>
    <row r="1374" spans="1:27">
      <c r="A1374" s="135" t="s">
        <v>2590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205</v>
      </c>
      <c r="H1374" s="127" t="s">
        <v>857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1739</v>
      </c>
      <c r="AA1374" s="79"/>
    </row>
    <row r="1375" spans="1:27">
      <c r="A1375" s="135" t="s">
        <v>2589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205</v>
      </c>
      <c r="H1375" s="127" t="s">
        <v>2588</v>
      </c>
      <c r="I1375" s="127" t="s">
        <v>190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1739</v>
      </c>
      <c r="AA1375" s="79"/>
    </row>
    <row r="1376" spans="1:27">
      <c r="A1376" s="141" t="s">
        <v>2587</v>
      </c>
      <c r="B1376" s="83" t="str">
        <f t="shared" si="339"/>
        <v>INSURED_NAME_INJI_FLG</v>
      </c>
      <c r="C1376" s="87" t="s">
        <v>1728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205</v>
      </c>
      <c r="H1376" s="127" t="s">
        <v>728</v>
      </c>
      <c r="I1376" s="127" t="s">
        <v>2586</v>
      </c>
      <c r="J1376" s="127" t="s">
        <v>465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1739</v>
      </c>
      <c r="AA1376" s="79"/>
    </row>
    <row r="1377" spans="1:27">
      <c r="A1377" s="142" t="s">
        <v>2585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205</v>
      </c>
      <c r="H1377" s="127" t="s">
        <v>2584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1739</v>
      </c>
      <c r="AA1377" s="79"/>
    </row>
    <row r="1378" spans="1:27">
      <c r="A1378" s="149" t="s">
        <v>2583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2582</v>
      </c>
      <c r="H1378" s="127" t="s">
        <v>2581</v>
      </c>
      <c r="I1378" s="127" t="s">
        <v>2580</v>
      </c>
      <c r="J1378" s="127" t="s">
        <v>764</v>
      </c>
      <c r="K1378" s="127" t="s">
        <v>2579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1746</v>
      </c>
      <c r="AA1378" s="79"/>
    </row>
    <row r="1379" spans="1:27">
      <c r="A1379" s="133" t="s">
        <v>2578</v>
      </c>
      <c r="B1379" s="83" t="str">
        <f t="shared" si="339"/>
        <v>NOTES</v>
      </c>
      <c r="C1379" s="87" t="s">
        <v>2577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1746</v>
      </c>
      <c r="AA1379" s="79"/>
    </row>
    <row r="1380" spans="1:27">
      <c r="A1380" s="96" t="s">
        <v>2576</v>
      </c>
      <c r="B1380" s="83" t="str">
        <f t="shared" si="339"/>
        <v>NOTES_40</v>
      </c>
      <c r="C1380" s="87" t="s">
        <v>2575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1739</v>
      </c>
      <c r="AA1380" s="79"/>
    </row>
    <row r="1381" spans="1:27">
      <c r="A1381" s="96" t="s">
        <v>2574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2236</v>
      </c>
      <c r="H1381" s="127" t="s">
        <v>2455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1739</v>
      </c>
      <c r="AA1381" s="79"/>
    </row>
    <row r="1382" spans="1:27">
      <c r="A1382" s="96" t="s">
        <v>2573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2236</v>
      </c>
      <c r="H1382" s="127" t="s">
        <v>2546</v>
      </c>
      <c r="I1382" s="127" t="s">
        <v>864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1739</v>
      </c>
      <c r="AA1382" s="79"/>
    </row>
    <row r="1383" spans="1:27">
      <c r="A1383" s="96" t="s">
        <v>2572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2236</v>
      </c>
      <c r="H1383" s="127" t="s">
        <v>2213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1739</v>
      </c>
      <c r="AA1383" s="79"/>
    </row>
    <row r="1384" spans="1:27">
      <c r="A1384" s="140" t="s">
        <v>2571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2236</v>
      </c>
      <c r="H1384" s="127" t="s">
        <v>2570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1739</v>
      </c>
      <c r="AA1384" s="79"/>
    </row>
    <row r="1385" spans="1:27">
      <c r="A1385" s="96" t="s">
        <v>2569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2236</v>
      </c>
      <c r="H1385" s="127" t="s">
        <v>444</v>
      </c>
      <c r="I1385" s="127" t="s">
        <v>183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1739</v>
      </c>
      <c r="AA1385" s="79"/>
    </row>
    <row r="1386" spans="1:27">
      <c r="A1386" s="142" t="s">
        <v>2568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2568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1739</v>
      </c>
      <c r="AA1386" s="79"/>
    </row>
    <row r="1387" spans="1:27">
      <c r="A1387" s="96" t="s">
        <v>2567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324</v>
      </c>
      <c r="H1387" s="127" t="s">
        <v>2213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1739</v>
      </c>
      <c r="AA1387" s="79"/>
    </row>
    <row r="1388" spans="1:27">
      <c r="A1388" s="96" t="s">
        <v>2566</v>
      </c>
      <c r="B1388" s="83" t="str">
        <f t="shared" si="339"/>
        <v>FUDOSAN_BAIKYAKU_FLG</v>
      </c>
      <c r="C1388" s="87" t="s">
        <v>1728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324</v>
      </c>
      <c r="H1388" s="127" t="s">
        <v>2565</v>
      </c>
      <c r="I1388" s="127" t="s">
        <v>465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1739</v>
      </c>
      <c r="AA1388" s="79"/>
    </row>
    <row r="1389" spans="1:27">
      <c r="A1389" s="96" t="s">
        <v>2564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324</v>
      </c>
      <c r="H1389" s="127" t="s">
        <v>348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1739</v>
      </c>
      <c r="AA1389" s="79"/>
    </row>
    <row r="1390" spans="1:27">
      <c r="A1390" s="141" t="s">
        <v>2563</v>
      </c>
      <c r="B1390" s="83" t="str">
        <f t="shared" si="339"/>
        <v>FUHO_KIJUN_FLG</v>
      </c>
      <c r="C1390" s="87" t="s">
        <v>1728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415</v>
      </c>
      <c r="H1390" s="127" t="s">
        <v>188</v>
      </c>
      <c r="I1390" s="127" t="s">
        <v>465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1739</v>
      </c>
      <c r="AA1390" s="79"/>
    </row>
    <row r="1391" spans="1:27">
      <c r="A1391" s="141" t="s">
        <v>2562</v>
      </c>
      <c r="B1391" s="83" t="str">
        <f t="shared" si="339"/>
        <v>FUTSU_SHIBO_S</v>
      </c>
      <c r="C1391" s="87" t="s">
        <v>2561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2560</v>
      </c>
      <c r="H1391" s="127" t="s">
        <v>432</v>
      </c>
      <c r="I1391" s="127" t="s">
        <v>190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1739</v>
      </c>
      <c r="AA1391" s="79"/>
    </row>
    <row r="1392" spans="1:27">
      <c r="A1392" s="96" t="s">
        <v>2559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2558</v>
      </c>
      <c r="H1392" s="127" t="s">
        <v>183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1739</v>
      </c>
      <c r="AA1392" s="79"/>
    </row>
    <row r="1393" spans="1:27">
      <c r="A1393" s="135" t="s">
        <v>2557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2552</v>
      </c>
      <c r="H1393" s="127" t="s">
        <v>854</v>
      </c>
      <c r="I1393" s="127" t="s">
        <v>857</v>
      </c>
      <c r="J1393" s="127" t="s">
        <v>193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1739</v>
      </c>
      <c r="AA1393" s="79"/>
    </row>
    <row r="1394" spans="1:27">
      <c r="A1394" s="135" t="s">
        <v>2556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2552</v>
      </c>
      <c r="H1394" s="127" t="s">
        <v>199</v>
      </c>
      <c r="I1394" s="127" t="s">
        <v>2555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1739</v>
      </c>
      <c r="AA1394" s="79"/>
    </row>
    <row r="1395" spans="1:27">
      <c r="A1395" s="135" t="s">
        <v>2554</v>
      </c>
      <c r="B1395" s="83" t="str">
        <f t="shared" si="339"/>
        <v>FUKUSUNIN_SEKKEI_FLG</v>
      </c>
      <c r="C1395" s="87" t="s">
        <v>1728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2552</v>
      </c>
      <c r="H1395" s="127" t="s">
        <v>832</v>
      </c>
      <c r="I1395" s="127" t="s">
        <v>465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1739</v>
      </c>
      <c r="AA1395" s="79"/>
    </row>
    <row r="1396" spans="1:27">
      <c r="A1396" s="96" t="s">
        <v>2553</v>
      </c>
      <c r="B1396" s="83" t="str">
        <f t="shared" si="339"/>
        <v>FUKUSUNIN_ILST_UKETSUKE_NO</v>
      </c>
      <c r="C1396" s="87" t="s">
        <v>2119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2552</v>
      </c>
      <c r="H1396" s="127" t="s">
        <v>2551</v>
      </c>
      <c r="I1396" s="127" t="s">
        <v>2108</v>
      </c>
      <c r="J1396" s="127" t="s">
        <v>1849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1739</v>
      </c>
      <c r="AA1396" s="79"/>
    </row>
    <row r="1397" spans="1:27">
      <c r="A1397" s="96" t="s">
        <v>2550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2549</v>
      </c>
      <c r="H1397" s="127" t="s">
        <v>177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1739</v>
      </c>
      <c r="AA1397" s="79"/>
    </row>
    <row r="1398" spans="1:27">
      <c r="A1398" s="142" t="s">
        <v>2548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2544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1739</v>
      </c>
      <c r="AA1398" s="79"/>
    </row>
    <row r="1399" spans="1:27">
      <c r="A1399" s="142" t="s">
        <v>2547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2544</v>
      </c>
      <c r="H1399" s="127" t="s">
        <v>2546</v>
      </c>
      <c r="I1399" s="127" t="s">
        <v>2543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1739</v>
      </c>
      <c r="AA1399" s="79"/>
    </row>
    <row r="1400" spans="1:27">
      <c r="A1400" s="142" t="s">
        <v>2545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2544</v>
      </c>
      <c r="H1400" s="127" t="s">
        <v>2543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1739</v>
      </c>
      <c r="AA1400" s="79"/>
    </row>
    <row r="1401" spans="1:27">
      <c r="A1401" s="88" t="s">
        <v>2542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751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182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180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2541</v>
      </c>
      <c r="H1402" s="127" t="s">
        <v>867</v>
      </c>
      <c r="I1402" s="127" t="s">
        <v>183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1487</v>
      </c>
      <c r="AA1402" s="79"/>
    </row>
    <row r="1403" spans="1:27">
      <c r="A1403" s="150" t="s">
        <v>2540</v>
      </c>
      <c r="B1403" s="83" t="str">
        <f t="shared" si="339"/>
        <v>HARAIKOMIKIKAN_MANRYO_DATE</v>
      </c>
      <c r="C1403" s="87" t="s">
        <v>1483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2539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1739</v>
      </c>
      <c r="AA1403" s="79"/>
    </row>
    <row r="1404" spans="1:27">
      <c r="A1404" s="96" t="s">
        <v>2538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2538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1739</v>
      </c>
      <c r="AA1404" s="79"/>
    </row>
    <row r="1405" spans="1:27">
      <c r="A1405" s="146" t="s">
        <v>2537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2537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1739</v>
      </c>
      <c r="AA1405" s="79"/>
    </row>
    <row r="1406" spans="1:27">
      <c r="A1406" s="142" t="s">
        <v>2536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2536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1739</v>
      </c>
      <c r="AA1406" s="79"/>
    </row>
    <row r="1407" spans="1:27">
      <c r="A1407" s="149" t="s">
        <v>2535</v>
      </c>
      <c r="B1407" s="83" t="str">
        <f t="shared" si="339"/>
        <v>HARAIZUMIGO_NYUIN_KYUFUKIN_NICHIGAKU</v>
      </c>
      <c r="C1407" s="87" t="s">
        <v>753</v>
      </c>
      <c r="D1407" s="82" t="str">
        <f t="shared" si="352"/>
        <v>Number</v>
      </c>
      <c r="E1407" s="82">
        <f t="shared" si="353"/>
        <v>11</v>
      </c>
      <c r="F1407" s="82" t="str">
        <f t="shared" si="354"/>
        <v/>
      </c>
      <c r="G1407" s="128" t="s">
        <v>2534</v>
      </c>
      <c r="H1407" s="127" t="s">
        <v>2533</v>
      </c>
      <c r="I1407" s="127" t="s">
        <v>850</v>
      </c>
      <c r="J1407" s="127" t="s">
        <v>2532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1739</v>
      </c>
      <c r="AA1407" s="79"/>
    </row>
    <row r="1408" spans="1:27">
      <c r="A1408" s="96" t="s">
        <v>2531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2531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1739</v>
      </c>
      <c r="AA1408" s="79"/>
    </row>
    <row r="1409" spans="1:27">
      <c r="A1409" s="96" t="s">
        <v>2530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2529</v>
      </c>
      <c r="H1409" s="127" t="s">
        <v>1235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1487</v>
      </c>
      <c r="AA1409" s="79"/>
    </row>
    <row r="1410" spans="1:27">
      <c r="A1410" s="96" t="s">
        <v>2528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1483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2525</v>
      </c>
      <c r="H1410" s="127" t="s">
        <v>2527</v>
      </c>
      <c r="I1410" s="127" t="s">
        <v>1483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1739</v>
      </c>
      <c r="AA1410" s="79"/>
    </row>
    <row r="1411" spans="1:27">
      <c r="A1411" s="142" t="s">
        <v>2526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2525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1739</v>
      </c>
      <c r="AA1411" s="79"/>
    </row>
    <row r="1412" spans="1:27">
      <c r="A1412" s="143" t="s">
        <v>2524</v>
      </c>
      <c r="B1412" s="83" t="str">
        <f t="shared" si="355"/>
        <v>HARAIKATA_CD</v>
      </c>
      <c r="C1412" s="87" t="s">
        <v>1594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183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1739</v>
      </c>
      <c r="AA1412" s="79"/>
    </row>
    <row r="1413" spans="1:27">
      <c r="A1413" s="96" t="s">
        <v>2523</v>
      </c>
      <c r="B1413" s="83" t="str">
        <f t="shared" si="355"/>
        <v>HARAIKATA_NAME</v>
      </c>
      <c r="C1413" s="87" t="s">
        <v>2522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2139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1739</v>
      </c>
      <c r="AA1413" s="79"/>
    </row>
    <row r="1414" spans="1:27">
      <c r="A1414" s="138" t="s">
        <v>2521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2520</v>
      </c>
      <c r="H1414" s="127" t="s">
        <v>298</v>
      </c>
      <c r="I1414" s="127" t="s">
        <v>1828</v>
      </c>
      <c r="J1414" s="127" t="s">
        <v>183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1487</v>
      </c>
      <c r="AA1414" s="79"/>
    </row>
    <row r="1415" spans="1:27">
      <c r="A1415" s="96" t="s">
        <v>2519</v>
      </c>
      <c r="B1415" s="83" t="str">
        <f t="shared" si="355"/>
        <v>BUNSEKI_KIJUN_NENGAPPI</v>
      </c>
      <c r="C1415" s="87" t="s">
        <v>1483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2443</v>
      </c>
      <c r="H1415" s="127" t="s">
        <v>188</v>
      </c>
      <c r="I1415" s="127" t="s">
        <v>2518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1739</v>
      </c>
      <c r="AA1415" s="79"/>
    </row>
    <row r="1416" spans="1:27">
      <c r="A1416" s="88" t="s">
        <v>2517</v>
      </c>
      <c r="B1416" s="83" t="str">
        <f t="shared" si="355"/>
        <v>BUNSEKI_TAISHO_FLG</v>
      </c>
      <c r="C1416" s="87" t="s">
        <v>1728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2443</v>
      </c>
      <c r="H1416" s="127" t="s">
        <v>2516</v>
      </c>
      <c r="I1416" s="127" t="s">
        <v>465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1739</v>
      </c>
      <c r="AA1416" s="79"/>
    </row>
    <row r="1417" spans="1:27">
      <c r="A1417" s="135" t="s">
        <v>2515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2514</v>
      </c>
      <c r="H1417" s="127" t="s">
        <v>1238</v>
      </c>
      <c r="I1417" s="127" t="s">
        <v>2513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1739</v>
      </c>
      <c r="AA1417" s="79"/>
    </row>
    <row r="1418" spans="1:27">
      <c r="A1418" s="96" t="s">
        <v>2512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2506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1739</v>
      </c>
      <c r="AA1418" s="79"/>
    </row>
    <row r="1419" spans="1:27">
      <c r="A1419" s="96" t="s">
        <v>2511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2506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1739</v>
      </c>
      <c r="AA1419" s="79"/>
    </row>
    <row r="1420" spans="1:27">
      <c r="A1420" s="96" t="s">
        <v>2510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2506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1739</v>
      </c>
      <c r="AA1420" s="79"/>
    </row>
    <row r="1421" spans="1:27">
      <c r="A1421" s="96" t="s">
        <v>2509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2506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1739</v>
      </c>
      <c r="AA1421" s="79"/>
    </row>
    <row r="1422" spans="1:27">
      <c r="A1422" s="96" t="s">
        <v>2508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2506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1739</v>
      </c>
      <c r="AA1422" s="79"/>
    </row>
    <row r="1423" spans="1:27">
      <c r="A1423" s="96" t="s">
        <v>2507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2506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1739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1739</v>
      </c>
      <c r="AA1424" s="79"/>
    </row>
    <row r="1425" spans="1:27">
      <c r="A1425" s="148" t="s">
        <v>2505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360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1739</v>
      </c>
      <c r="AA1425" s="79"/>
    </row>
    <row r="1426" spans="1:27">
      <c r="A1426" s="96" t="s">
        <v>2504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360</v>
      </c>
      <c r="H1426" s="127" t="s">
        <v>2503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1739</v>
      </c>
      <c r="AA1426" s="79"/>
    </row>
    <row r="1427" spans="1:27">
      <c r="A1427" s="137" t="s">
        <v>2502</v>
      </c>
      <c r="B1427" s="83" t="str">
        <f t="shared" si="355"/>
        <v>HOKEN_KIKAN_FROM</v>
      </c>
      <c r="C1427" s="87" t="s">
        <v>1814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360</v>
      </c>
      <c r="H1427" s="127" t="s">
        <v>864</v>
      </c>
      <c r="I1427" s="127" t="s">
        <v>1285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1739</v>
      </c>
      <c r="AA1427" s="79"/>
    </row>
    <row r="1428" spans="1:27">
      <c r="A1428" s="137" t="s">
        <v>2501</v>
      </c>
      <c r="B1428" s="83" t="str">
        <f t="shared" si="355"/>
        <v>HOKEN_KIKAN_TO</v>
      </c>
      <c r="C1428" s="87" t="s">
        <v>1814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360</v>
      </c>
      <c r="H1428" s="127" t="s">
        <v>864</v>
      </c>
      <c r="I1428" s="127" t="s">
        <v>1282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1739</v>
      </c>
      <c r="AA1428" s="79"/>
    </row>
    <row r="1429" spans="1:27">
      <c r="A1429" s="96" t="s">
        <v>2500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360</v>
      </c>
      <c r="H1429" s="127" t="s">
        <v>864</v>
      </c>
      <c r="I1429" s="127" t="s">
        <v>2261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1739</v>
      </c>
      <c r="AA1429" s="79"/>
    </row>
    <row r="1430" spans="1:27">
      <c r="A1430" s="88" t="s">
        <v>2499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360</v>
      </c>
      <c r="H1430" s="127" t="s">
        <v>864</v>
      </c>
      <c r="I1430" s="127" t="s">
        <v>751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1739</v>
      </c>
      <c r="AA1430" s="79"/>
    </row>
    <row r="1431" spans="1:27">
      <c r="A1431" s="96" t="s">
        <v>2498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360</v>
      </c>
      <c r="H1431" s="127" t="s">
        <v>864</v>
      </c>
      <c r="I1431" s="127" t="s">
        <v>959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182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180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2497</v>
      </c>
      <c r="H1432" s="127" t="s">
        <v>1434</v>
      </c>
      <c r="I1432" s="127" t="s">
        <v>1737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1739</v>
      </c>
      <c r="AA1432" s="79"/>
    </row>
    <row r="1433" spans="1:27">
      <c r="A1433" s="134" t="s">
        <v>2496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360</v>
      </c>
      <c r="H1433" s="127" t="s">
        <v>864</v>
      </c>
      <c r="I1433" s="127" t="s">
        <v>2495</v>
      </c>
      <c r="J1433" s="127" t="s">
        <v>183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1739</v>
      </c>
      <c r="AA1433" s="79"/>
    </row>
    <row r="1434" spans="1:27">
      <c r="A1434" s="147" t="s">
        <v>2494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190</v>
      </c>
      <c r="H1434" s="127" t="s">
        <v>2493</v>
      </c>
      <c r="I1434" s="127" t="s">
        <v>2492</v>
      </c>
      <c r="J1434" s="127" t="s">
        <v>2491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1739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753</v>
      </c>
      <c r="D1435" s="82" t="str">
        <f t="shared" si="352"/>
        <v>Number</v>
      </c>
      <c r="E1435" s="82">
        <f t="shared" si="353"/>
        <v>11</v>
      </c>
      <c r="F1435" s="82" t="str">
        <f t="shared" si="354"/>
        <v/>
      </c>
      <c r="G1435" s="128" t="s">
        <v>360</v>
      </c>
      <c r="H1435" s="127" t="s">
        <v>414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1739</v>
      </c>
      <c r="AA1435" s="79"/>
    </row>
    <row r="1436" spans="1:27">
      <c r="A1436" s="141" t="s">
        <v>2490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360</v>
      </c>
      <c r="H1436" s="127" t="s">
        <v>414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1739</v>
      </c>
      <c r="AA1436" s="79"/>
    </row>
    <row r="1437" spans="1:27">
      <c r="A1437" s="141" t="s">
        <v>2489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360</v>
      </c>
      <c r="H1437" s="127" t="s">
        <v>414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1739</v>
      </c>
      <c r="AA1437" s="79"/>
    </row>
    <row r="1438" spans="1:27">
      <c r="A1438" s="141" t="s">
        <v>2488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360</v>
      </c>
      <c r="H1438" s="127" t="s">
        <v>414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1739</v>
      </c>
      <c r="AA1438" s="79"/>
    </row>
    <row r="1439" spans="1:27">
      <c r="A1439" s="96" t="s">
        <v>2487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190</v>
      </c>
      <c r="H1439" s="127" t="s">
        <v>392</v>
      </c>
      <c r="I1439" s="127" t="s">
        <v>283</v>
      </c>
      <c r="J1439" s="127" t="s">
        <v>864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1739</v>
      </c>
      <c r="AA1439" s="79"/>
    </row>
    <row r="1440" spans="1:27">
      <c r="A1440" s="143" t="s">
        <v>2486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360</v>
      </c>
      <c r="H1440" s="127" t="s">
        <v>831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1739</v>
      </c>
      <c r="AA1440" s="79"/>
    </row>
    <row r="1441" spans="1:27">
      <c r="A1441" s="142" t="s">
        <v>2485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391</v>
      </c>
      <c r="H1441" s="127" t="s">
        <v>2484</v>
      </c>
      <c r="I1441" s="127" t="s">
        <v>2483</v>
      </c>
      <c r="J1441" s="127" t="s">
        <v>2482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1739</v>
      </c>
      <c r="AA1441" s="79"/>
    </row>
    <row r="1442" spans="1:27">
      <c r="A1442" s="142" t="s">
        <v>2481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815</v>
      </c>
      <c r="H1442" s="127" t="s">
        <v>2480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1424</v>
      </c>
      <c r="AA1442" s="79"/>
    </row>
    <row r="1443" spans="1:27">
      <c r="A1443" s="96" t="s">
        <v>2479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815</v>
      </c>
      <c r="H1443" s="127" t="s">
        <v>1025</v>
      </c>
      <c r="I1443" s="127" t="s">
        <v>177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1424</v>
      </c>
      <c r="AA1443" s="79"/>
    </row>
    <row r="1444" spans="1:27">
      <c r="A1444" s="96" t="s">
        <v>2478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815</v>
      </c>
      <c r="H1444" s="127" t="s">
        <v>2477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1739</v>
      </c>
      <c r="AA1444" s="79"/>
    </row>
    <row r="1445" spans="1:27">
      <c r="A1445" s="96" t="s">
        <v>2476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815</v>
      </c>
      <c r="H1445" s="127" t="s">
        <v>864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1739</v>
      </c>
      <c r="AA1445" s="79"/>
    </row>
    <row r="1446" spans="1:27">
      <c r="A1446" s="96" t="s">
        <v>2475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815</v>
      </c>
      <c r="H1446" s="127" t="s">
        <v>864</v>
      </c>
      <c r="I1446" s="127" t="s">
        <v>183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1739</v>
      </c>
      <c r="AA1446" s="79"/>
    </row>
    <row r="1447" spans="1:27">
      <c r="A1447" s="96" t="s">
        <v>2474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815</v>
      </c>
      <c r="H1447" s="127" t="s">
        <v>864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1739</v>
      </c>
      <c r="AA1447" s="79"/>
    </row>
    <row r="1448" spans="1:27">
      <c r="A1448" s="96" t="s">
        <v>2473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815</v>
      </c>
      <c r="H1448" s="127" t="s">
        <v>2207</v>
      </c>
      <c r="I1448" s="127" t="s">
        <v>177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1739</v>
      </c>
      <c r="AA1448" s="79"/>
    </row>
    <row r="1449" spans="1:27">
      <c r="A1449" s="96" t="s">
        <v>2472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815</v>
      </c>
      <c r="H1449" s="127" t="s">
        <v>2207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1739</v>
      </c>
      <c r="AA1449" s="79"/>
    </row>
    <row r="1450" spans="1:27">
      <c r="A1450" s="142" t="s">
        <v>2471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815</v>
      </c>
      <c r="H1450" s="127" t="s">
        <v>375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182</v>
      </c>
      <c r="AA1450" s="79"/>
    </row>
    <row r="1451" spans="1:27">
      <c r="A1451" s="138" t="s">
        <v>2470</v>
      </c>
      <c r="B1451" s="83" t="str">
        <f t="shared" si="355"/>
        <v>SUB_NO</v>
      </c>
      <c r="C1451" s="87" t="s">
        <v>2469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882</v>
      </c>
      <c r="H1451" s="127" t="s">
        <v>1849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182</v>
      </c>
      <c r="AA1451" s="79"/>
    </row>
    <row r="1452" spans="1:27">
      <c r="A1452" s="96" t="s">
        <v>2468</v>
      </c>
      <c r="B1452" s="83" t="str">
        <f t="shared" si="355"/>
        <v>SALES_ALLOWANCE_SHIKYU_KB</v>
      </c>
      <c r="C1452" s="87" t="s">
        <v>180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2461</v>
      </c>
      <c r="H1452" s="127" t="s">
        <v>2460</v>
      </c>
      <c r="I1452" s="127" t="s">
        <v>2467</v>
      </c>
      <c r="J1452" s="127" t="s">
        <v>177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379</v>
      </c>
      <c r="AA1452" s="79"/>
    </row>
    <row r="1453" spans="1:27">
      <c r="A1453" s="137" t="s">
        <v>2466</v>
      </c>
      <c r="B1453" s="83" t="str">
        <f t="shared" si="355"/>
        <v>SALES_ALLOWANCE_SHIKYU_RT</v>
      </c>
      <c r="C1453" s="87" t="s">
        <v>2465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2461</v>
      </c>
      <c r="H1453" s="127" t="s">
        <v>2460</v>
      </c>
      <c r="I1453" s="127" t="s">
        <v>2464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2463</v>
      </c>
      <c r="AA1453" s="79"/>
    </row>
    <row r="1454" spans="1:27">
      <c r="A1454" s="137" t="s">
        <v>2462</v>
      </c>
      <c r="B1454" s="83" t="str">
        <f t="shared" si="355"/>
        <v>SALES_ALLOWANCE_TAISEN_LMTCST</v>
      </c>
      <c r="C1454" s="87" t="s">
        <v>753</v>
      </c>
      <c r="D1454" s="82" t="str">
        <f t="shared" si="368"/>
        <v>Number</v>
      </c>
      <c r="E1454" s="82">
        <f t="shared" si="369"/>
        <v>11</v>
      </c>
      <c r="F1454" s="82" t="str">
        <f t="shared" si="370"/>
        <v/>
      </c>
      <c r="G1454" s="128" t="s">
        <v>2461</v>
      </c>
      <c r="H1454" s="127" t="s">
        <v>2460</v>
      </c>
      <c r="I1454" s="127" t="s">
        <v>2459</v>
      </c>
      <c r="J1454" s="127" t="s">
        <v>2458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1739</v>
      </c>
      <c r="AA1454" s="79"/>
    </row>
    <row r="1455" spans="1:27">
      <c r="A1455" s="96" t="s">
        <v>2457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2456</v>
      </c>
      <c r="H1455" s="127" t="s">
        <v>2455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1739</v>
      </c>
      <c r="AA1455" s="79"/>
    </row>
    <row r="1456" spans="1:27">
      <c r="A1456" s="96" t="s">
        <v>2454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2453</v>
      </c>
      <c r="H1456" s="127" t="s">
        <v>2452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1739</v>
      </c>
      <c r="AA1456" s="79"/>
    </row>
    <row r="1457" spans="1:27">
      <c r="A1457" s="141" t="s">
        <v>2451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195</v>
      </c>
      <c r="H1457" s="127" t="s">
        <v>1864</v>
      </c>
      <c r="I1457" s="127" t="s">
        <v>194</v>
      </c>
      <c r="J1457" s="127" t="s">
        <v>193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1739</v>
      </c>
      <c r="AA1457" s="79"/>
    </row>
    <row r="1458" spans="1:27">
      <c r="A1458" s="96" t="s">
        <v>2450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195</v>
      </c>
      <c r="H1458" s="127" t="s">
        <v>2449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1739</v>
      </c>
      <c r="AA1458" s="79"/>
    </row>
    <row r="1459" spans="1:27">
      <c r="A1459" s="96" t="s">
        <v>2448</v>
      </c>
      <c r="B1459" s="83" t="str">
        <f t="shared" si="355"/>
        <v>CORP_TEL_NO</v>
      </c>
      <c r="C1459" s="87" t="s">
        <v>2447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195</v>
      </c>
      <c r="H1459" s="127" t="s">
        <v>2446</v>
      </c>
      <c r="I1459" s="127" t="s">
        <v>1849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1739</v>
      </c>
      <c r="AA1459" s="79"/>
    </row>
    <row r="1460" spans="1:27">
      <c r="A1460" s="138" t="s">
        <v>2445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195</v>
      </c>
      <c r="H1460" s="127" t="s">
        <v>2444</v>
      </c>
      <c r="I1460" s="127" t="s">
        <v>2443</v>
      </c>
      <c r="J1460" s="127" t="s">
        <v>2117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1739</v>
      </c>
      <c r="AA1460" s="79"/>
    </row>
    <row r="1461" spans="1:27">
      <c r="A1461" s="140" t="s">
        <v>2442</v>
      </c>
      <c r="B1461" s="83" t="str">
        <f t="shared" si="355"/>
        <v>CORP_JIKKOUZEI_RT</v>
      </c>
      <c r="C1461" s="87" t="s">
        <v>2441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195</v>
      </c>
      <c r="H1461" s="127" t="s">
        <v>2440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1739</v>
      </c>
      <c r="AA1461" s="79"/>
    </row>
    <row r="1462" spans="1:27">
      <c r="A1462" s="96" t="s">
        <v>2439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195</v>
      </c>
      <c r="H1462" s="127" t="s">
        <v>1844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1739</v>
      </c>
      <c r="AA1462" s="79"/>
    </row>
    <row r="1463" spans="1:27">
      <c r="A1463" s="96" t="s">
        <v>2438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195</v>
      </c>
      <c r="H1463" s="127" t="s">
        <v>1844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1739</v>
      </c>
      <c r="AA1463" s="79"/>
    </row>
    <row r="1464" spans="1:27">
      <c r="A1464" s="96" t="s">
        <v>2437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195</v>
      </c>
      <c r="H1464" s="127" t="s">
        <v>1844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1739</v>
      </c>
      <c r="AA1464" s="79"/>
    </row>
    <row r="1465" spans="1:27">
      <c r="A1465" s="96" t="s">
        <v>2436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195</v>
      </c>
      <c r="H1465" s="127" t="s">
        <v>1844</v>
      </c>
      <c r="I1465" s="127" t="s">
        <v>2303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1739</v>
      </c>
      <c r="AA1465" s="79"/>
    </row>
    <row r="1466" spans="1:27">
      <c r="A1466" s="96" t="s">
        <v>2435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195</v>
      </c>
      <c r="H1466" s="127" t="s">
        <v>1844</v>
      </c>
      <c r="I1466" s="127" t="s">
        <v>2303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1739</v>
      </c>
      <c r="AA1466" s="79"/>
    </row>
    <row r="1467" spans="1:27">
      <c r="A1467" s="96" t="s">
        <v>2434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195</v>
      </c>
      <c r="H1467" s="127" t="s">
        <v>1844</v>
      </c>
      <c r="I1467" s="127" t="s">
        <v>2303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1739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195</v>
      </c>
      <c r="H1468" s="127" t="s">
        <v>728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1739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195</v>
      </c>
      <c r="H1469" s="127" t="s">
        <v>728</v>
      </c>
      <c r="I1469" s="127" t="s">
        <v>2303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1739</v>
      </c>
      <c r="AA1469" s="79"/>
    </row>
    <row r="1470" spans="1:27">
      <c r="A1470" s="96" t="s">
        <v>2433</v>
      </c>
      <c r="B1470" s="83" t="str">
        <f t="shared" si="355"/>
        <v>CORP_ZIP_CD_1</v>
      </c>
      <c r="C1470" s="87" t="s">
        <v>2432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195</v>
      </c>
      <c r="H1470" s="127" t="s">
        <v>2430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1739</v>
      </c>
      <c r="AA1470" s="79"/>
    </row>
    <row r="1471" spans="1:27">
      <c r="A1471" s="96" t="s">
        <v>2431</v>
      </c>
      <c r="B1471" s="83" t="str">
        <f t="shared" si="355"/>
        <v>CORP_ZIP_CD_2</v>
      </c>
      <c r="C1471" s="87" t="s">
        <v>2165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195</v>
      </c>
      <c r="H1471" s="127" t="s">
        <v>2430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1739</v>
      </c>
      <c r="AA1471" s="79"/>
    </row>
    <row r="1472" spans="1:27">
      <c r="A1472" s="145" t="s">
        <v>6477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244</v>
      </c>
      <c r="H1472" s="127" t="s">
        <v>2274</v>
      </c>
      <c r="I1472" s="127" t="s">
        <v>746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1487</v>
      </c>
      <c r="AA1472" s="79"/>
    </row>
    <row r="1473" spans="1:27">
      <c r="A1473" s="145" t="s">
        <v>2429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244</v>
      </c>
      <c r="H1473" s="127" t="s">
        <v>2274</v>
      </c>
      <c r="I1473" s="127" t="s">
        <v>2428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1487</v>
      </c>
      <c r="AA1473" s="79"/>
    </row>
    <row r="1474" spans="1:27">
      <c r="A1474" s="145" t="s">
        <v>2427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1483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244</v>
      </c>
      <c r="H1474" s="127" t="s">
        <v>2271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1739</v>
      </c>
      <c r="AA1474" s="79"/>
    </row>
    <row r="1475" spans="1:27">
      <c r="A1475" s="145" t="s">
        <v>2426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244</v>
      </c>
      <c r="H1475" s="127" t="s">
        <v>2425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1739</v>
      </c>
      <c r="AA1475" s="79"/>
    </row>
    <row r="1476" spans="1:27">
      <c r="A1476" s="143" t="s">
        <v>2424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875</v>
      </c>
      <c r="H1476" s="127" t="s">
        <v>2419</v>
      </c>
      <c r="I1476" s="127" t="s">
        <v>2399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1739</v>
      </c>
      <c r="AA1476" s="79"/>
    </row>
    <row r="1477" spans="1:27">
      <c r="A1477" s="143" t="s">
        <v>2423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875</v>
      </c>
      <c r="H1477" s="127" t="s">
        <v>2419</v>
      </c>
      <c r="I1477" s="127" t="s">
        <v>2399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1739</v>
      </c>
      <c r="AA1477" s="79"/>
    </row>
    <row r="1478" spans="1:27">
      <c r="A1478" s="143" t="s">
        <v>2422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875</v>
      </c>
      <c r="H1478" s="127" t="s">
        <v>2419</v>
      </c>
      <c r="I1478" s="127" t="s">
        <v>2399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1739</v>
      </c>
      <c r="AA1478" s="79"/>
    </row>
    <row r="1479" spans="1:27">
      <c r="A1479" s="143" t="s">
        <v>2421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875</v>
      </c>
      <c r="H1479" s="127" t="s">
        <v>2419</v>
      </c>
      <c r="I1479" s="127" t="s">
        <v>2394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1739</v>
      </c>
      <c r="AA1479" s="79"/>
    </row>
    <row r="1480" spans="1:27">
      <c r="A1480" s="143" t="s">
        <v>2420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875</v>
      </c>
      <c r="H1480" s="127" t="s">
        <v>2419</v>
      </c>
      <c r="I1480" s="127" t="s">
        <v>2394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1739</v>
      </c>
      <c r="AA1480" s="79"/>
    </row>
    <row r="1481" spans="1:27">
      <c r="A1481" s="143" t="s">
        <v>2418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875</v>
      </c>
      <c r="H1481" s="127" t="s">
        <v>2417</v>
      </c>
      <c r="I1481" s="127" t="s">
        <v>2394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1739</v>
      </c>
      <c r="AA1481" s="79"/>
    </row>
    <row r="1482" spans="1:27">
      <c r="A1482" s="96" t="s">
        <v>2416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875</v>
      </c>
      <c r="H1482" s="127" t="s">
        <v>2412</v>
      </c>
      <c r="I1482" s="127" t="s">
        <v>2411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1739</v>
      </c>
      <c r="AA1482" s="79"/>
    </row>
    <row r="1483" spans="1:27">
      <c r="A1483" s="96" t="s">
        <v>2415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875</v>
      </c>
      <c r="H1483" s="127" t="s">
        <v>2412</v>
      </c>
      <c r="I1483" s="127" t="s">
        <v>2411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1739</v>
      </c>
      <c r="AA1483" s="79"/>
    </row>
    <row r="1484" spans="1:27">
      <c r="A1484" s="96" t="s">
        <v>2414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875</v>
      </c>
      <c r="H1484" s="127" t="s">
        <v>2412</v>
      </c>
      <c r="I1484" s="127" t="s">
        <v>2411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1739</v>
      </c>
      <c r="AA1484" s="79"/>
    </row>
    <row r="1485" spans="1:27">
      <c r="A1485" s="96" t="s">
        <v>2413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875</v>
      </c>
      <c r="H1485" s="127" t="s">
        <v>2412</v>
      </c>
      <c r="I1485" s="127" t="s">
        <v>2411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1739</v>
      </c>
      <c r="AA1485" s="79"/>
    </row>
    <row r="1486" spans="1:27">
      <c r="A1486" s="144" t="s">
        <v>2410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875</v>
      </c>
      <c r="H1486" s="127" t="s">
        <v>1227</v>
      </c>
      <c r="I1486" s="127" t="s">
        <v>177</v>
      </c>
      <c r="J1486" s="127" t="s">
        <v>183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1739</v>
      </c>
      <c r="AA1486" s="79"/>
    </row>
    <row r="1487" spans="1:27">
      <c r="A1487" s="143" t="s">
        <v>2409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1959</v>
      </c>
      <c r="H1487" s="127" t="s">
        <v>2403</v>
      </c>
      <c r="I1487" s="127"/>
      <c r="J1487" s="127" t="s">
        <v>2399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1739</v>
      </c>
      <c r="AA1487" s="79"/>
    </row>
    <row r="1488" spans="1:27">
      <c r="A1488" s="143" t="s">
        <v>2408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1959</v>
      </c>
      <c r="H1488" s="127" t="s">
        <v>2403</v>
      </c>
      <c r="I1488" s="127"/>
      <c r="J1488" s="127" t="s">
        <v>2399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1739</v>
      </c>
      <c r="AA1488" s="79"/>
    </row>
    <row r="1489" spans="1:27">
      <c r="A1489" s="143" t="s">
        <v>2407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1959</v>
      </c>
      <c r="H1489" s="127" t="s">
        <v>2403</v>
      </c>
      <c r="I1489" s="127"/>
      <c r="J1489" s="127" t="s">
        <v>2399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1739</v>
      </c>
      <c r="AA1489" s="79"/>
    </row>
    <row r="1490" spans="1:27">
      <c r="A1490" s="143" t="s">
        <v>2406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1959</v>
      </c>
      <c r="H1490" s="127" t="s">
        <v>2403</v>
      </c>
      <c r="I1490" s="127"/>
      <c r="J1490" s="127" t="s">
        <v>2394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1739</v>
      </c>
      <c r="AA1490" s="79"/>
    </row>
    <row r="1491" spans="1:27">
      <c r="A1491" s="143" t="s">
        <v>2405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1959</v>
      </c>
      <c r="H1491" s="127" t="s">
        <v>2403</v>
      </c>
      <c r="I1491" s="127"/>
      <c r="J1491" s="127" t="s">
        <v>2394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1739</v>
      </c>
      <c r="AA1491" s="79"/>
    </row>
    <row r="1492" spans="1:27">
      <c r="A1492" s="143" t="s">
        <v>2404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1959</v>
      </c>
      <c r="H1492" s="127" t="s">
        <v>2403</v>
      </c>
      <c r="I1492" s="127"/>
      <c r="J1492" s="127" t="s">
        <v>2394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1739</v>
      </c>
      <c r="AA1492" s="79"/>
    </row>
    <row r="1493" spans="1:27">
      <c r="A1493" s="143" t="s">
        <v>2402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1959</v>
      </c>
      <c r="H1493" s="127" t="s">
        <v>2395</v>
      </c>
      <c r="I1493" s="127"/>
      <c r="J1493" s="127" t="s">
        <v>2399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1739</v>
      </c>
      <c r="AA1493" s="79"/>
    </row>
    <row r="1494" spans="1:27">
      <c r="A1494" s="143" t="s">
        <v>2401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1959</v>
      </c>
      <c r="H1494" s="127" t="s">
        <v>2395</v>
      </c>
      <c r="I1494" s="127"/>
      <c r="J1494" s="127" t="s">
        <v>2399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1739</v>
      </c>
      <c r="AA1494" s="79"/>
    </row>
    <row r="1495" spans="1:27">
      <c r="A1495" s="143" t="s">
        <v>2400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1959</v>
      </c>
      <c r="H1495" s="127" t="s">
        <v>2395</v>
      </c>
      <c r="I1495" s="127"/>
      <c r="J1495" s="127" t="s">
        <v>2399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1739</v>
      </c>
      <c r="AA1495" s="79"/>
    </row>
    <row r="1496" spans="1:27">
      <c r="A1496" s="143" t="s">
        <v>2398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1959</v>
      </c>
      <c r="H1496" s="127" t="s">
        <v>2395</v>
      </c>
      <c r="I1496" s="127"/>
      <c r="J1496" s="127" t="s">
        <v>2394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1739</v>
      </c>
      <c r="AA1496" s="79"/>
    </row>
    <row r="1497" spans="1:27">
      <c r="A1497" s="143" t="s">
        <v>2397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1959</v>
      </c>
      <c r="H1497" s="127" t="s">
        <v>2395</v>
      </c>
      <c r="I1497" s="127"/>
      <c r="J1497" s="127" t="s">
        <v>2394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1739</v>
      </c>
      <c r="AA1497" s="79"/>
    </row>
    <row r="1498" spans="1:27">
      <c r="A1498" s="143" t="s">
        <v>2396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1959</v>
      </c>
      <c r="H1498" s="127" t="s">
        <v>2395</v>
      </c>
      <c r="I1498" s="127"/>
      <c r="J1498" s="127" t="s">
        <v>2394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1739</v>
      </c>
      <c r="AA1498" s="79"/>
    </row>
    <row r="1499" spans="1:27">
      <c r="A1499" s="141" t="s">
        <v>2393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1959</v>
      </c>
      <c r="H1499" s="127" t="s">
        <v>2005</v>
      </c>
      <c r="I1499" s="127" t="s">
        <v>194</v>
      </c>
      <c r="J1499" s="127" t="s">
        <v>193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1739</v>
      </c>
      <c r="AA1499" s="79"/>
    </row>
    <row r="1500" spans="1:27">
      <c r="A1500" s="96" t="s">
        <v>2392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2346</v>
      </c>
      <c r="H1500" s="127" t="s">
        <v>2296</v>
      </c>
      <c r="I1500" s="127" t="s">
        <v>2360</v>
      </c>
      <c r="J1500" s="127" t="s">
        <v>1888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1739</v>
      </c>
      <c r="AA1500" s="79"/>
    </row>
    <row r="1501" spans="1:27">
      <c r="A1501" s="96" t="s">
        <v>2391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2346</v>
      </c>
      <c r="H1501" s="127" t="s">
        <v>2296</v>
      </c>
      <c r="I1501" s="127" t="s">
        <v>2360</v>
      </c>
      <c r="J1501" s="127" t="s">
        <v>1888</v>
      </c>
      <c r="K1501" s="127" t="s">
        <v>1227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1739</v>
      </c>
      <c r="AA1501" s="79"/>
    </row>
    <row r="1502" spans="1:27">
      <c r="A1502" s="96" t="s">
        <v>2390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2346</v>
      </c>
      <c r="H1502" s="127" t="s">
        <v>2388</v>
      </c>
      <c r="I1502" s="127" t="s">
        <v>659</v>
      </c>
      <c r="J1502" s="127" t="s">
        <v>183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1739</v>
      </c>
      <c r="AA1502" s="79"/>
    </row>
    <row r="1503" spans="1:27">
      <c r="A1503" s="96" t="s">
        <v>2389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2346</v>
      </c>
      <c r="H1503" s="127" t="s">
        <v>2388</v>
      </c>
      <c r="I1503" s="127" t="s">
        <v>659</v>
      </c>
      <c r="J1503" s="127" t="s">
        <v>183</v>
      </c>
      <c r="K1503" s="127" t="s">
        <v>1227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1739</v>
      </c>
      <c r="AA1503" s="79"/>
    </row>
    <row r="1504" spans="1:27">
      <c r="A1504" s="96" t="s">
        <v>2387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2346</v>
      </c>
      <c r="H1504" s="127" t="s">
        <v>672</v>
      </c>
      <c r="I1504" s="127" t="s">
        <v>2360</v>
      </c>
      <c r="J1504" s="127" t="s">
        <v>1888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1739</v>
      </c>
      <c r="AA1504" s="79"/>
    </row>
    <row r="1505" spans="1:27">
      <c r="A1505" s="96" t="s">
        <v>2386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2346</v>
      </c>
      <c r="H1505" s="127" t="s">
        <v>672</v>
      </c>
      <c r="I1505" s="127" t="s">
        <v>2360</v>
      </c>
      <c r="J1505" s="127" t="s">
        <v>1888</v>
      </c>
      <c r="K1505" s="127" t="s">
        <v>1227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1739</v>
      </c>
      <c r="AA1505" s="79"/>
    </row>
    <row r="1506" spans="1:27">
      <c r="A1506" s="96" t="s">
        <v>2385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2346</v>
      </c>
      <c r="H1506" s="127" t="s">
        <v>2372</v>
      </c>
      <c r="I1506" s="127" t="s">
        <v>2379</v>
      </c>
      <c r="J1506" s="127" t="s">
        <v>2360</v>
      </c>
      <c r="K1506" s="127" t="s">
        <v>1888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1739</v>
      </c>
      <c r="AA1506" s="79"/>
    </row>
    <row r="1507" spans="1:27">
      <c r="A1507" s="96" t="s">
        <v>2384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2346</v>
      </c>
      <c r="H1507" s="127" t="s">
        <v>2372</v>
      </c>
      <c r="I1507" s="127" t="s">
        <v>2379</v>
      </c>
      <c r="J1507" s="127" t="s">
        <v>2360</v>
      </c>
      <c r="K1507" s="127" t="s">
        <v>1888</v>
      </c>
      <c r="L1507" s="132" t="s">
        <v>1227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1739</v>
      </c>
      <c r="AA1507" s="79"/>
    </row>
    <row r="1508" spans="1:27">
      <c r="A1508" s="96" t="s">
        <v>2383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2346</v>
      </c>
      <c r="H1508" s="127" t="s">
        <v>2372</v>
      </c>
      <c r="I1508" s="127" t="s">
        <v>2379</v>
      </c>
      <c r="J1508" s="127" t="s">
        <v>2360</v>
      </c>
      <c r="K1508" s="127" t="s">
        <v>414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1739</v>
      </c>
      <c r="AA1508" s="79"/>
    </row>
    <row r="1509" spans="1:27">
      <c r="A1509" s="96" t="s">
        <v>2382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2346</v>
      </c>
      <c r="H1509" s="127" t="s">
        <v>2372</v>
      </c>
      <c r="I1509" s="127" t="s">
        <v>2379</v>
      </c>
      <c r="J1509" s="127" t="s">
        <v>2360</v>
      </c>
      <c r="K1509" s="127" t="s">
        <v>414</v>
      </c>
      <c r="L1509" s="132" t="s">
        <v>1227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1739</v>
      </c>
      <c r="AA1509" s="79"/>
    </row>
    <row r="1510" spans="1:27">
      <c r="A1510" s="96" t="s">
        <v>2381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2346</v>
      </c>
      <c r="H1510" s="127" t="s">
        <v>2372</v>
      </c>
      <c r="I1510" s="127" t="s">
        <v>2379</v>
      </c>
      <c r="J1510" s="127" t="s">
        <v>2355</v>
      </c>
      <c r="K1510" s="127" t="s">
        <v>177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1739</v>
      </c>
      <c r="AA1510" s="79"/>
    </row>
    <row r="1511" spans="1:27">
      <c r="A1511" s="96" t="s">
        <v>2380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2346</v>
      </c>
      <c r="H1511" s="127" t="s">
        <v>2372</v>
      </c>
      <c r="I1511" s="127" t="s">
        <v>2379</v>
      </c>
      <c r="J1511" s="127" t="s">
        <v>2355</v>
      </c>
      <c r="K1511" s="127" t="s">
        <v>177</v>
      </c>
      <c r="L1511" s="132" t="s">
        <v>1227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1739</v>
      </c>
      <c r="AA1511" s="79"/>
    </row>
    <row r="1512" spans="1:27">
      <c r="A1512" s="96" t="s">
        <v>2378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2346</v>
      </c>
      <c r="H1512" s="127" t="s">
        <v>2372</v>
      </c>
      <c r="I1512" s="127" t="s">
        <v>2371</v>
      </c>
      <c r="J1512" s="127" t="s">
        <v>2360</v>
      </c>
      <c r="K1512" s="127" t="s">
        <v>1888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1739</v>
      </c>
      <c r="AA1512" s="79"/>
    </row>
    <row r="1513" spans="1:27">
      <c r="A1513" s="96" t="s">
        <v>2377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2346</v>
      </c>
      <c r="H1513" s="127" t="s">
        <v>2372</v>
      </c>
      <c r="I1513" s="127" t="s">
        <v>2371</v>
      </c>
      <c r="J1513" s="127" t="s">
        <v>2360</v>
      </c>
      <c r="K1513" s="127" t="s">
        <v>1888</v>
      </c>
      <c r="L1513" s="132" t="s">
        <v>1227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1739</v>
      </c>
      <c r="AA1513" s="79"/>
    </row>
    <row r="1514" spans="1:27">
      <c r="A1514" s="96" t="s">
        <v>2376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2346</v>
      </c>
      <c r="H1514" s="127" t="s">
        <v>2372</v>
      </c>
      <c r="I1514" s="127" t="s">
        <v>2371</v>
      </c>
      <c r="J1514" s="127" t="s">
        <v>2360</v>
      </c>
      <c r="K1514" s="127" t="s">
        <v>414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1739</v>
      </c>
      <c r="AA1514" s="79"/>
    </row>
    <row r="1515" spans="1:27">
      <c r="A1515" s="96" t="s">
        <v>2375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2346</v>
      </c>
      <c r="H1515" s="127" t="s">
        <v>2372</v>
      </c>
      <c r="I1515" s="127" t="s">
        <v>2371</v>
      </c>
      <c r="J1515" s="127" t="s">
        <v>2360</v>
      </c>
      <c r="K1515" s="127" t="s">
        <v>414</v>
      </c>
      <c r="L1515" s="132" t="s">
        <v>1227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1739</v>
      </c>
      <c r="AA1515" s="79"/>
    </row>
    <row r="1516" spans="1:27">
      <c r="A1516" s="96" t="s">
        <v>2374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2346</v>
      </c>
      <c r="H1516" s="127" t="s">
        <v>2372</v>
      </c>
      <c r="I1516" s="127" t="s">
        <v>2371</v>
      </c>
      <c r="J1516" s="127" t="s">
        <v>2355</v>
      </c>
      <c r="K1516" s="127" t="s">
        <v>177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1739</v>
      </c>
      <c r="AA1516" s="79"/>
    </row>
    <row r="1517" spans="1:27">
      <c r="A1517" s="96" t="s">
        <v>2373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2346</v>
      </c>
      <c r="H1517" s="127" t="s">
        <v>2372</v>
      </c>
      <c r="I1517" s="127" t="s">
        <v>2371</v>
      </c>
      <c r="J1517" s="127" t="s">
        <v>2355</v>
      </c>
      <c r="K1517" s="127" t="s">
        <v>177</v>
      </c>
      <c r="L1517" s="132" t="s">
        <v>1227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1739</v>
      </c>
      <c r="AA1517" s="79"/>
    </row>
    <row r="1518" spans="1:27">
      <c r="A1518" s="96" t="s">
        <v>2370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2346</v>
      </c>
      <c r="H1518" s="127" t="s">
        <v>2360</v>
      </c>
      <c r="I1518" s="127" t="s">
        <v>1888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1739</v>
      </c>
      <c r="AA1518" s="79"/>
    </row>
    <row r="1519" spans="1:27">
      <c r="A1519" s="96" t="s">
        <v>2369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2346</v>
      </c>
      <c r="H1519" s="127" t="s">
        <v>2360</v>
      </c>
      <c r="I1519" s="127" t="s">
        <v>193</v>
      </c>
      <c r="J1519" s="127" t="s">
        <v>183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1739</v>
      </c>
      <c r="AA1519" s="79"/>
    </row>
    <row r="1520" spans="1:27">
      <c r="A1520" s="96" t="s">
        <v>2368</v>
      </c>
      <c r="B1520" s="83" t="str">
        <f t="shared" si="371"/>
        <v>HAP_SASAERU_UMU_FLG</v>
      </c>
      <c r="C1520" s="87" t="s">
        <v>1728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2346</v>
      </c>
      <c r="H1520" s="127" t="s">
        <v>2360</v>
      </c>
      <c r="I1520" s="127" t="s">
        <v>341</v>
      </c>
      <c r="J1520" s="127" t="s">
        <v>465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1739</v>
      </c>
      <c r="AA1520" s="79"/>
    </row>
    <row r="1521" spans="1:27">
      <c r="A1521" s="96" t="s">
        <v>2367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2346</v>
      </c>
      <c r="H1521" s="127" t="s">
        <v>668</v>
      </c>
      <c r="I1521" s="127" t="s">
        <v>2365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1739</v>
      </c>
      <c r="AA1521" s="79"/>
    </row>
    <row r="1522" spans="1:27">
      <c r="A1522" s="96" t="s">
        <v>2366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2346</v>
      </c>
      <c r="H1522" s="127" t="s">
        <v>668</v>
      </c>
      <c r="I1522" s="127" t="s">
        <v>2365</v>
      </c>
      <c r="J1522" s="127" t="s">
        <v>1227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1739</v>
      </c>
      <c r="AA1522" s="79"/>
    </row>
    <row r="1523" spans="1:27">
      <c r="A1523" s="96" t="s">
        <v>2364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2346</v>
      </c>
      <c r="H1523" s="127" t="s">
        <v>2358</v>
      </c>
      <c r="I1523" s="127" t="s">
        <v>2360</v>
      </c>
      <c r="J1523" s="127" t="s">
        <v>1888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1739</v>
      </c>
      <c r="AA1523" s="79"/>
    </row>
    <row r="1524" spans="1:27">
      <c r="A1524" s="96" t="s">
        <v>2363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2346</v>
      </c>
      <c r="H1524" s="127" t="s">
        <v>2358</v>
      </c>
      <c r="I1524" s="127" t="s">
        <v>2360</v>
      </c>
      <c r="J1524" s="127" t="s">
        <v>1888</v>
      </c>
      <c r="K1524" s="127" t="s">
        <v>1227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1739</v>
      </c>
      <c r="AA1524" s="79"/>
    </row>
    <row r="1525" spans="1:27">
      <c r="A1525" s="96" t="s">
        <v>2362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2346</v>
      </c>
      <c r="H1525" s="127" t="s">
        <v>2358</v>
      </c>
      <c r="I1525" s="127" t="s">
        <v>2360</v>
      </c>
      <c r="J1525" s="127" t="s">
        <v>414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1739</v>
      </c>
      <c r="AA1525" s="79"/>
    </row>
    <row r="1526" spans="1:27">
      <c r="A1526" s="96" t="s">
        <v>2361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2346</v>
      </c>
      <c r="H1526" s="127" t="s">
        <v>2358</v>
      </c>
      <c r="I1526" s="127" t="s">
        <v>2360</v>
      </c>
      <c r="J1526" s="127" t="s">
        <v>414</v>
      </c>
      <c r="K1526" s="127" t="s">
        <v>1227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1739</v>
      </c>
      <c r="AA1526" s="79"/>
    </row>
    <row r="1527" spans="1:27">
      <c r="A1527" s="96" t="s">
        <v>2359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2346</v>
      </c>
      <c r="H1527" s="127" t="s">
        <v>2358</v>
      </c>
      <c r="I1527" s="127" t="s">
        <v>2355</v>
      </c>
      <c r="J1527" s="127" t="s">
        <v>177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1739</v>
      </c>
      <c r="AA1527" s="79"/>
    </row>
    <row r="1528" spans="1:27">
      <c r="A1528" s="96" t="s">
        <v>2357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2346</v>
      </c>
      <c r="H1528" s="127" t="s">
        <v>2356</v>
      </c>
      <c r="I1528" s="127" t="s">
        <v>2355</v>
      </c>
      <c r="J1528" s="127" t="s">
        <v>177</v>
      </c>
      <c r="K1528" s="127" t="s">
        <v>1227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1739</v>
      </c>
      <c r="AA1528" s="79"/>
    </row>
    <row r="1529" spans="1:27">
      <c r="A1529" s="96" t="s">
        <v>2354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2346</v>
      </c>
      <c r="H1529" s="127" t="s">
        <v>668</v>
      </c>
      <c r="I1529" s="127" t="s">
        <v>2352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1739</v>
      </c>
      <c r="AA1529" s="79"/>
    </row>
    <row r="1530" spans="1:27">
      <c r="A1530" s="96" t="s">
        <v>2353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2346</v>
      </c>
      <c r="H1530" s="127" t="s">
        <v>668</v>
      </c>
      <c r="I1530" s="127" t="s">
        <v>2352</v>
      </c>
      <c r="J1530" s="127" t="s">
        <v>1227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1739</v>
      </c>
      <c r="AA1530" s="79"/>
    </row>
    <row r="1531" spans="1:27">
      <c r="A1531" s="96" t="s">
        <v>2351</v>
      </c>
      <c r="B1531" s="83" t="str">
        <f t="shared" si="371"/>
        <v>HAP_DANSHIN_KANYU_FLG</v>
      </c>
      <c r="C1531" s="87" t="s">
        <v>1728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2346</v>
      </c>
      <c r="H1531" s="127" t="s">
        <v>2349</v>
      </c>
      <c r="I1531" s="127" t="s">
        <v>202</v>
      </c>
      <c r="J1531" s="127" t="s">
        <v>465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1739</v>
      </c>
      <c r="AA1531" s="79"/>
    </row>
    <row r="1532" spans="1:27">
      <c r="A1532" s="96" t="s">
        <v>2350</v>
      </c>
      <c r="B1532" s="83" t="str">
        <f t="shared" si="371"/>
        <v>HAP_DANSHIN_KANYU_FLG_SPOUSE</v>
      </c>
      <c r="C1532" s="87" t="s">
        <v>1728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2346</v>
      </c>
      <c r="H1532" s="127" t="s">
        <v>2349</v>
      </c>
      <c r="I1532" s="127" t="s">
        <v>202</v>
      </c>
      <c r="J1532" s="127" t="s">
        <v>465</v>
      </c>
      <c r="K1532" s="127" t="s">
        <v>1227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1739</v>
      </c>
      <c r="AA1532" s="79"/>
    </row>
    <row r="1533" spans="1:27">
      <c r="A1533" s="96" t="s">
        <v>2348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2346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1739</v>
      </c>
      <c r="AA1533" s="79"/>
    </row>
    <row r="1534" spans="1:27">
      <c r="A1534" s="96" t="s">
        <v>2347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2346</v>
      </c>
      <c r="H1534" s="127" t="s">
        <v>131</v>
      </c>
      <c r="I1534" s="127" t="s">
        <v>1227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1739</v>
      </c>
      <c r="AA1534" s="79"/>
    </row>
    <row r="1535" spans="1:27">
      <c r="A1535" s="88" t="s">
        <v>2345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2344</v>
      </c>
      <c r="H1535" s="127" t="s">
        <v>2329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1487</v>
      </c>
      <c r="AA1535" s="79"/>
    </row>
    <row r="1536" spans="1:27">
      <c r="A1536" s="138" t="s">
        <v>2343</v>
      </c>
      <c r="B1536" s="83" t="str">
        <f t="shared" si="371"/>
        <v>MANKI_DATE</v>
      </c>
      <c r="C1536" s="87" t="s">
        <v>1483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2343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1739</v>
      </c>
      <c r="AA1536" s="79"/>
    </row>
    <row r="1537" spans="1:27">
      <c r="A1537" s="135" t="s">
        <v>2342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2330</v>
      </c>
      <c r="H1537" s="127" t="s">
        <v>2329</v>
      </c>
      <c r="I1537" s="127" t="s">
        <v>2142</v>
      </c>
      <c r="J1537" s="127" t="s">
        <v>2341</v>
      </c>
      <c r="K1537" s="127" t="s">
        <v>177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1739</v>
      </c>
      <c r="AA1537" s="79"/>
    </row>
    <row r="1538" spans="1:27">
      <c r="A1538" s="135" t="s">
        <v>2340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2330</v>
      </c>
      <c r="H1538" s="127" t="s">
        <v>2329</v>
      </c>
      <c r="I1538" s="127" t="s">
        <v>2339</v>
      </c>
      <c r="J1538" s="127" t="s">
        <v>177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1739</v>
      </c>
      <c r="AA1538" s="79"/>
    </row>
    <row r="1539" spans="1:27">
      <c r="A1539" s="135" t="s">
        <v>2338</v>
      </c>
      <c r="B1539" s="83" t="str">
        <f t="shared" si="387"/>
        <v>S_PAYEE_NAME_KANA</v>
      </c>
      <c r="C1539" s="87" t="s">
        <v>2336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2335</v>
      </c>
      <c r="H1539" s="127" t="s">
        <v>2329</v>
      </c>
      <c r="I1539" s="127" t="s">
        <v>2334</v>
      </c>
      <c r="J1539" s="127" t="s">
        <v>2303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1739</v>
      </c>
      <c r="AA1539" s="79"/>
    </row>
    <row r="1540" spans="1:27">
      <c r="A1540" s="135" t="s">
        <v>2337</v>
      </c>
      <c r="B1540" s="83" t="str">
        <f t="shared" si="387"/>
        <v>S_PAYEE_NAME</v>
      </c>
      <c r="C1540" s="87" t="s">
        <v>2336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2335</v>
      </c>
      <c r="H1540" s="127" t="s">
        <v>2329</v>
      </c>
      <c r="I1540" s="127" t="s">
        <v>2334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1739</v>
      </c>
      <c r="AA1540" s="79"/>
    </row>
    <row r="1541" spans="1:27">
      <c r="A1541" s="135" t="s">
        <v>2333</v>
      </c>
      <c r="B1541" s="83" t="str">
        <f t="shared" si="387"/>
        <v>MANKI_S_PAYEE_ZOKUGARA_CD</v>
      </c>
      <c r="C1541" s="87" t="s">
        <v>2332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2330</v>
      </c>
      <c r="H1541" s="127" t="s">
        <v>2329</v>
      </c>
      <c r="I1541" s="127" t="s">
        <v>893</v>
      </c>
      <c r="J1541" s="127" t="s">
        <v>1737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1739</v>
      </c>
      <c r="AA1541" s="79"/>
    </row>
    <row r="1542" spans="1:27">
      <c r="A1542" s="135" t="s">
        <v>2331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2330</v>
      </c>
      <c r="H1542" s="127" t="s">
        <v>2329</v>
      </c>
      <c r="I1542" s="127" t="s">
        <v>205</v>
      </c>
      <c r="J1542" s="127" t="s">
        <v>2328</v>
      </c>
      <c r="K1542" s="127" t="s">
        <v>177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1739</v>
      </c>
      <c r="AA1542" s="79"/>
    </row>
    <row r="1543" spans="1:27">
      <c r="A1543" s="96" t="s">
        <v>2327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2325</v>
      </c>
      <c r="H1543" s="127" t="s">
        <v>2324</v>
      </c>
      <c r="I1543" s="127" t="s">
        <v>1285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1739</v>
      </c>
      <c r="AA1543" s="79"/>
    </row>
    <row r="1544" spans="1:27">
      <c r="A1544" s="96" t="s">
        <v>2326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2325</v>
      </c>
      <c r="H1544" s="127" t="s">
        <v>2324</v>
      </c>
      <c r="I1544" s="127" t="s">
        <v>2203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1739</v>
      </c>
      <c r="AA1544" s="79"/>
    </row>
    <row r="1545" spans="1:27">
      <c r="A1545" s="142" t="s">
        <v>2323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2322</v>
      </c>
      <c r="H1545" s="127" t="s">
        <v>391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1739</v>
      </c>
      <c r="AA1545" s="79"/>
    </row>
    <row r="1546" spans="1:27">
      <c r="A1546" s="96" t="s">
        <v>2321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2320</v>
      </c>
      <c r="H1546" s="127" t="s">
        <v>2319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182</v>
      </c>
      <c r="AA1546" s="79"/>
    </row>
    <row r="1547" spans="1:27">
      <c r="A1547" s="96" t="s">
        <v>2318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2318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1739</v>
      </c>
      <c r="AA1547" s="79"/>
    </row>
    <row r="1548" spans="1:27">
      <c r="A1548" s="135" t="s">
        <v>2317</v>
      </c>
      <c r="B1548" s="83" t="str">
        <f t="shared" si="387"/>
        <v>MUJIKO_TOKUSOKU_UMU_FLG</v>
      </c>
      <c r="C1548" s="87" t="s">
        <v>1728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828</v>
      </c>
      <c r="H1548" s="127" t="s">
        <v>827</v>
      </c>
      <c r="I1548" s="127" t="s">
        <v>341</v>
      </c>
      <c r="J1548" s="127" t="s">
        <v>465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1739</v>
      </c>
      <c r="AA1548" s="79"/>
    </row>
    <row r="1549" spans="1:27">
      <c r="A1549" s="96" t="s">
        <v>2316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2316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1739</v>
      </c>
      <c r="AA1549" s="79"/>
    </row>
    <row r="1550" spans="1:27">
      <c r="A1550" s="141" t="s">
        <v>2315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2314</v>
      </c>
      <c r="H1550" s="127" t="s">
        <v>2313</v>
      </c>
      <c r="I1550" s="127" t="s">
        <v>1827</v>
      </c>
      <c r="J1550" s="127" t="s">
        <v>375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1487</v>
      </c>
      <c r="AA1550" s="79"/>
    </row>
    <row r="1551" spans="1:27">
      <c r="A1551" s="141" t="s">
        <v>2312</v>
      </c>
      <c r="B1551" s="83" t="str">
        <f t="shared" si="387"/>
        <v>INTERVIEW_DATE</v>
      </c>
      <c r="C1551" s="87" t="s">
        <v>1483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2312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1739</v>
      </c>
      <c r="AA1551" s="79"/>
    </row>
    <row r="1552" spans="1:27">
      <c r="A1552" s="96" t="s">
        <v>2311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278</v>
      </c>
      <c r="H1552" s="127" t="s">
        <v>429</v>
      </c>
      <c r="I1552" s="127" t="s">
        <v>864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1739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278</v>
      </c>
      <c r="H1553" s="127" t="s">
        <v>2310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1487</v>
      </c>
      <c r="AA1553" s="267" t="s">
        <v>6506</v>
      </c>
    </row>
    <row r="1554" spans="1:27">
      <c r="A1554" s="139" t="s">
        <v>2309</v>
      </c>
      <c r="B1554" s="83" t="str">
        <f t="shared" si="387"/>
        <v>YAKUIN_BIRTH</v>
      </c>
      <c r="C1554" s="87" t="s">
        <v>1483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278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1739</v>
      </c>
      <c r="AA1554" s="79"/>
    </row>
    <row r="1555" spans="1:27">
      <c r="A1555" s="139" t="s">
        <v>2308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278</v>
      </c>
      <c r="H1555" s="127" t="s">
        <v>2284</v>
      </c>
      <c r="I1555" s="127" t="s">
        <v>955</v>
      </c>
      <c r="J1555" s="127" t="s">
        <v>341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1739</v>
      </c>
      <c r="AA1555" s="79"/>
    </row>
    <row r="1556" spans="1:27">
      <c r="A1556" s="140" t="s">
        <v>2307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278</v>
      </c>
      <c r="H1556" s="127" t="s">
        <v>431</v>
      </c>
      <c r="I1556" s="127" t="s">
        <v>414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1739</v>
      </c>
      <c r="AA1556" s="79"/>
    </row>
    <row r="1557" spans="1:27">
      <c r="A1557" s="139" t="s">
        <v>2306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278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1739</v>
      </c>
      <c r="AA1557" s="79"/>
    </row>
    <row r="1558" spans="1:27">
      <c r="A1558" s="139" t="s">
        <v>2305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278</v>
      </c>
      <c r="H1558" s="127" t="s">
        <v>728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1739</v>
      </c>
      <c r="AA1558" s="79"/>
    </row>
    <row r="1559" spans="1:27">
      <c r="A1559" s="139" t="s">
        <v>2304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278</v>
      </c>
      <c r="H1559" s="127" t="s">
        <v>728</v>
      </c>
      <c r="I1559" s="127" t="s">
        <v>2303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1739</v>
      </c>
      <c r="AA1559" s="79"/>
    </row>
    <row r="1560" spans="1:27">
      <c r="A1560" s="96" t="s">
        <v>405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405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1739</v>
      </c>
      <c r="AA1560" s="79"/>
    </row>
    <row r="1561" spans="1:27">
      <c r="A1561" s="96" t="s">
        <v>2302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405</v>
      </c>
      <c r="H1561" s="127" t="s">
        <v>2301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1739</v>
      </c>
      <c r="AA1561" s="79"/>
    </row>
    <row r="1562" spans="1:27">
      <c r="A1562" s="96" t="s">
        <v>2300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2290</v>
      </c>
      <c r="H1562" s="127" t="s">
        <v>2289</v>
      </c>
      <c r="I1562" s="127" t="s">
        <v>2299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1739</v>
      </c>
      <c r="AA1562" s="79"/>
    </row>
    <row r="1563" spans="1:27">
      <c r="A1563" s="96" t="s">
        <v>2298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2290</v>
      </c>
      <c r="H1563" s="127" t="s">
        <v>2289</v>
      </c>
      <c r="I1563" s="127" t="s">
        <v>207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1739</v>
      </c>
      <c r="AA1563" s="79"/>
    </row>
    <row r="1564" spans="1:27">
      <c r="A1564" s="96" t="s">
        <v>2297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2290</v>
      </c>
      <c r="H1564" s="127" t="s">
        <v>2289</v>
      </c>
      <c r="I1564" s="127" t="s">
        <v>2296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1739</v>
      </c>
      <c r="AA1564" s="79"/>
    </row>
    <row r="1565" spans="1:27">
      <c r="A1565" s="96" t="s">
        <v>2295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2290</v>
      </c>
      <c r="H1565" s="127" t="s">
        <v>2289</v>
      </c>
      <c r="I1565" s="127" t="s">
        <v>672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1739</v>
      </c>
      <c r="AA1565" s="79"/>
    </row>
    <row r="1566" spans="1:27">
      <c r="A1566" s="96" t="s">
        <v>2294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2290</v>
      </c>
      <c r="H1566" s="127" t="s">
        <v>2289</v>
      </c>
      <c r="I1566" s="127" t="s">
        <v>668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1739</v>
      </c>
      <c r="AA1566" s="79"/>
    </row>
    <row r="1567" spans="1:27">
      <c r="A1567" s="96" t="s">
        <v>2293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2290</v>
      </c>
      <c r="H1567" s="127" t="s">
        <v>2289</v>
      </c>
      <c r="I1567" s="127" t="s">
        <v>2292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1739</v>
      </c>
      <c r="AA1567" s="79"/>
    </row>
    <row r="1568" spans="1:27">
      <c r="A1568" s="96" t="s">
        <v>2291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2290</v>
      </c>
      <c r="H1568" s="127" t="s">
        <v>2289</v>
      </c>
      <c r="I1568" s="127" t="s">
        <v>2237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1739</v>
      </c>
      <c r="AA1568" s="79"/>
    </row>
    <row r="1569" spans="1:27">
      <c r="A1569" s="96" t="s">
        <v>2288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2287</v>
      </c>
      <c r="H1569" s="127" t="s">
        <v>2286</v>
      </c>
      <c r="I1569" s="127" t="s">
        <v>183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1739</v>
      </c>
      <c r="AA1569" s="79"/>
    </row>
    <row r="1570" spans="1:27">
      <c r="A1570" s="138" t="s">
        <v>2285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2280</v>
      </c>
      <c r="H1570" s="127" t="s">
        <v>2284</v>
      </c>
      <c r="I1570" s="127" t="s">
        <v>2283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1739</v>
      </c>
      <c r="AA1570" s="79"/>
    </row>
    <row r="1571" spans="1:27">
      <c r="A1571" s="138" t="s">
        <v>2282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2280</v>
      </c>
      <c r="H1571" s="127" t="s">
        <v>431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1739</v>
      </c>
      <c r="AA1571" s="79"/>
    </row>
    <row r="1572" spans="1:27">
      <c r="A1572" s="133" t="s">
        <v>2281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2280</v>
      </c>
      <c r="H1572" s="127" t="s">
        <v>2279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1739</v>
      </c>
      <c r="AA1572" s="267" t="s">
        <v>6506</v>
      </c>
    </row>
    <row r="1573" spans="1:27">
      <c r="A1573" s="137" t="s">
        <v>2278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2276</v>
      </c>
      <c r="H1573" s="127" t="s">
        <v>864</v>
      </c>
      <c r="I1573" s="127" t="s">
        <v>1285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1739</v>
      </c>
      <c r="AA1573" s="79"/>
    </row>
    <row r="1574" spans="1:27">
      <c r="A1574" s="137" t="s">
        <v>2277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2276</v>
      </c>
      <c r="H1574" s="127" t="s">
        <v>864</v>
      </c>
      <c r="I1574" s="127" t="s">
        <v>1282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1739</v>
      </c>
      <c r="AA1574" s="79"/>
    </row>
    <row r="1575" spans="1:27">
      <c r="A1575" s="96" t="s">
        <v>2275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2274</v>
      </c>
      <c r="H1575" s="127" t="s">
        <v>2273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1487</v>
      </c>
      <c r="AA1575" s="79"/>
    </row>
    <row r="1576" spans="1:27">
      <c r="A1576" s="135" t="s">
        <v>2272</v>
      </c>
      <c r="B1576" s="83" t="str">
        <f t="shared" si="387"/>
        <v>PLAN_DATE_KINGAKU</v>
      </c>
      <c r="C1576" s="87" t="s">
        <v>1483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2271</v>
      </c>
      <c r="H1576" s="127" t="s">
        <v>414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1739</v>
      </c>
      <c r="AA1576" s="79"/>
    </row>
    <row r="1577" spans="1:27">
      <c r="A1577" s="96" t="s">
        <v>2269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2269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1739</v>
      </c>
      <c r="AA1577" s="79"/>
    </row>
    <row r="1578" spans="1:27">
      <c r="A1578" s="96" t="s">
        <v>2270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2269</v>
      </c>
      <c r="H1578" s="127" t="s">
        <v>2268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1739</v>
      </c>
      <c r="AA1578" s="79"/>
    </row>
    <row r="1579" spans="1:27">
      <c r="A1579" s="96" t="s">
        <v>2267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2254</v>
      </c>
      <c r="H1579" s="127" t="s">
        <v>2266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1739</v>
      </c>
      <c r="AA1579" s="79"/>
    </row>
    <row r="1580" spans="1:27">
      <c r="A1580" s="96" t="s">
        <v>2265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2254</v>
      </c>
      <c r="H1580" s="127" t="s">
        <v>2264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1739</v>
      </c>
      <c r="AA1580" s="79"/>
    </row>
    <row r="1581" spans="1:27">
      <c r="A1581" s="96" t="s">
        <v>2263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2254</v>
      </c>
      <c r="H1581" s="127" t="s">
        <v>236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1739</v>
      </c>
      <c r="AA1581" s="79"/>
    </row>
    <row r="1582" spans="1:27">
      <c r="A1582" s="96" t="s">
        <v>2262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2254</v>
      </c>
      <c r="H1582" s="127" t="s">
        <v>2252</v>
      </c>
      <c r="I1582" s="127" t="s">
        <v>2261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1739</v>
      </c>
      <c r="AA1582" s="79"/>
    </row>
    <row r="1583" spans="1:27">
      <c r="A1583" s="96" t="s">
        <v>2260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2254</v>
      </c>
      <c r="H1583" s="127" t="s">
        <v>2252</v>
      </c>
      <c r="I1583" s="127" t="s">
        <v>2259</v>
      </c>
      <c r="J1583" s="127" t="s">
        <v>183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1739</v>
      </c>
      <c r="AA1583" s="79"/>
    </row>
    <row r="1584" spans="1:27">
      <c r="A1584" s="96" t="s">
        <v>2258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2254</v>
      </c>
      <c r="H1584" s="127" t="s">
        <v>2252</v>
      </c>
      <c r="I1584" s="127" t="s">
        <v>461</v>
      </c>
      <c r="J1584" s="127" t="s">
        <v>183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1487</v>
      </c>
      <c r="AA1584" s="79"/>
    </row>
    <row r="1585" spans="1:27">
      <c r="A1585" s="96" t="s">
        <v>2257</v>
      </c>
      <c r="B1585" s="83" t="str">
        <f t="shared" si="387"/>
        <v>YOCHOKIN_AZUKEIRE_DATE</v>
      </c>
      <c r="C1585" s="87" t="s">
        <v>1483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2254</v>
      </c>
      <c r="H1585" s="127" t="s">
        <v>2252</v>
      </c>
      <c r="I1585" s="127" t="s">
        <v>2256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1739</v>
      </c>
      <c r="AA1585" s="79"/>
    </row>
    <row r="1586" spans="1:27">
      <c r="A1586" s="96" t="s">
        <v>2255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2254</v>
      </c>
      <c r="H1586" s="127" t="s">
        <v>2252</v>
      </c>
      <c r="I1586" s="127" t="s">
        <v>959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1739</v>
      </c>
      <c r="AA1586" s="79"/>
    </row>
    <row r="1587" spans="1:27">
      <c r="A1587" s="96" t="s">
        <v>2253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2252</v>
      </c>
      <c r="H1587" s="127" t="s">
        <v>864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1739</v>
      </c>
      <c r="AA1587" s="79"/>
    </row>
    <row r="1588" spans="1:27">
      <c r="A1588" s="96" t="s">
        <v>2251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2250</v>
      </c>
      <c r="H1588" s="127" t="s">
        <v>728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1739</v>
      </c>
      <c r="AA1588" s="79"/>
    </row>
    <row r="1589" spans="1:27">
      <c r="A1589" s="96" t="s">
        <v>2249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2247</v>
      </c>
      <c r="H1589" s="127" t="s">
        <v>183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1739</v>
      </c>
      <c r="AA1589" s="79"/>
    </row>
    <row r="1590" spans="1:27">
      <c r="A1590" s="96" t="s">
        <v>2248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2247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1739</v>
      </c>
      <c r="AA1590" s="79"/>
    </row>
    <row r="1591" spans="1:27">
      <c r="A1591" s="96" t="s">
        <v>2246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2245</v>
      </c>
      <c r="H1591" s="127" t="s">
        <v>1828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1739</v>
      </c>
      <c r="AA1591" s="79"/>
    </row>
    <row r="1592" spans="1:27">
      <c r="A1592" s="136" t="s">
        <v>2244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2244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1739</v>
      </c>
      <c r="AA1592" s="79"/>
    </row>
    <row r="1593" spans="1:27">
      <c r="A1593" s="96" t="s">
        <v>2243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2242</v>
      </c>
      <c r="H1593" s="127" t="s">
        <v>2241</v>
      </c>
      <c r="I1593" s="127" t="s">
        <v>2240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1739</v>
      </c>
      <c r="AA1593" s="79"/>
    </row>
    <row r="1594" spans="1:27">
      <c r="A1594" s="96" t="s">
        <v>2239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2237</v>
      </c>
      <c r="H1594" s="127" t="s">
        <v>831</v>
      </c>
      <c r="I1594" s="127" t="s">
        <v>183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1739</v>
      </c>
      <c r="AA1594" s="79"/>
    </row>
    <row r="1595" spans="1:27">
      <c r="A1595" s="96" t="s">
        <v>2238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2237</v>
      </c>
      <c r="H1595" s="127" t="s">
        <v>2236</v>
      </c>
      <c r="I1595" s="127" t="s">
        <v>2235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1739</v>
      </c>
      <c r="AA1595" s="79"/>
    </row>
    <row r="1596" spans="1:27">
      <c r="A1596" s="96" t="s">
        <v>2234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2234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1739</v>
      </c>
      <c r="AA1596" s="79"/>
    </row>
    <row r="1597" spans="1:27">
      <c r="A1597" s="135" t="s">
        <v>2233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2232</v>
      </c>
      <c r="H1597" s="127" t="s">
        <v>341</v>
      </c>
      <c r="I1597" s="127" t="s">
        <v>177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1739</v>
      </c>
      <c r="AA1597" s="79"/>
    </row>
    <row r="1598" spans="1:27">
      <c r="A1598" s="134" t="s">
        <v>2231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2230</v>
      </c>
      <c r="H1598" s="127" t="s">
        <v>360</v>
      </c>
      <c r="I1598" s="127" t="s">
        <v>1299</v>
      </c>
      <c r="J1598" s="127" t="s">
        <v>183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1739</v>
      </c>
      <c r="AA1598" s="79"/>
    </row>
    <row r="1599" spans="1:27">
      <c r="A1599" s="133" t="s">
        <v>2229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2228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1739</v>
      </c>
      <c r="AA1599" s="79"/>
    </row>
    <row r="1600" spans="1:27">
      <c r="A1600" s="88" t="s">
        <v>2227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2205</v>
      </c>
      <c r="H1600" s="127" t="s">
        <v>2226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1739</v>
      </c>
      <c r="AA1600" s="79"/>
    </row>
    <row r="1601" spans="1:27">
      <c r="A1601" s="88" t="s">
        <v>2225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2205</v>
      </c>
      <c r="H1601" s="127" t="s">
        <v>2224</v>
      </c>
      <c r="I1601" s="127" t="s">
        <v>2223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1739</v>
      </c>
      <c r="AA1601" s="79"/>
    </row>
    <row r="1602" spans="1:27">
      <c r="A1602" s="88" t="s">
        <v>2222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2205</v>
      </c>
      <c r="H1602" s="127" t="s">
        <v>2221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1739</v>
      </c>
      <c r="AA1602" s="79"/>
    </row>
    <row r="1603" spans="1:27">
      <c r="A1603" s="88" t="s">
        <v>2220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2205</v>
      </c>
      <c r="H1603" s="127" t="s">
        <v>2219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1739</v>
      </c>
      <c r="AA1603" s="79"/>
    </row>
    <row r="1604" spans="1:27">
      <c r="A1604" s="88" t="s">
        <v>2218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2205</v>
      </c>
      <c r="H1604" s="127" t="s">
        <v>2217</v>
      </c>
      <c r="I1604" s="127" t="s">
        <v>2216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1739</v>
      </c>
      <c r="AA1604" s="79"/>
    </row>
    <row r="1605" spans="1:27">
      <c r="A1605" s="88" t="s">
        <v>2215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2205</v>
      </c>
      <c r="H1605" s="127" t="s">
        <v>2214</v>
      </c>
      <c r="I1605" s="127" t="s">
        <v>2213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1739</v>
      </c>
      <c r="AA1605" s="79"/>
    </row>
    <row r="1606" spans="1:27">
      <c r="A1606" s="88" t="s">
        <v>2212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2205</v>
      </c>
      <c r="H1606" s="127" t="s">
        <v>2211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1739</v>
      </c>
      <c r="AA1606" s="79"/>
    </row>
    <row r="1607" spans="1:27">
      <c r="A1607" s="88" t="s">
        <v>2210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2205</v>
      </c>
      <c r="H1607" s="127" t="s">
        <v>2204</v>
      </c>
      <c r="I1607" s="127" t="s">
        <v>21</v>
      </c>
      <c r="J1607" s="127" t="s">
        <v>1823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1739</v>
      </c>
      <c r="AA1607" s="79"/>
    </row>
    <row r="1608" spans="1:27">
      <c r="A1608" s="88" t="s">
        <v>2209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2205</v>
      </c>
      <c r="H1608" s="127" t="s">
        <v>815</v>
      </c>
      <c r="I1608" s="127" t="s">
        <v>864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1739</v>
      </c>
      <c r="AA1608" s="79"/>
    </row>
    <row r="1609" spans="1:27">
      <c r="A1609" s="88" t="s">
        <v>2208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2205</v>
      </c>
      <c r="H1609" s="127" t="s">
        <v>815</v>
      </c>
      <c r="I1609" s="127" t="s">
        <v>2207</v>
      </c>
      <c r="J1609" s="127" t="s">
        <v>1733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1739</v>
      </c>
      <c r="AA1609" s="79"/>
    </row>
    <row r="1610" spans="1:27">
      <c r="A1610" s="88" t="s">
        <v>2206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2205</v>
      </c>
      <c r="H1610" s="97" t="s">
        <v>2204</v>
      </c>
      <c r="I1610" s="97" t="s">
        <v>21</v>
      </c>
      <c r="J1610" s="97" t="s">
        <v>2203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182</v>
      </c>
      <c r="AA1610" s="79"/>
    </row>
    <row r="1611" spans="1:27">
      <c r="A1611" s="88" t="s">
        <v>2202</v>
      </c>
      <c r="B1611" s="83" t="str">
        <f t="shared" si="403"/>
        <v>INSURED_BIRTH_SELECT_KB</v>
      </c>
      <c r="C1611" s="87" t="s">
        <v>180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205</v>
      </c>
      <c r="H1611" s="97" t="s">
        <v>2201</v>
      </c>
      <c r="I1611" s="97" t="s">
        <v>2200</v>
      </c>
      <c r="J1611" s="97" t="s">
        <v>1733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1739</v>
      </c>
      <c r="AA1611" s="79"/>
    </row>
    <row r="1612" spans="1:27">
      <c r="A1612" s="88" t="s">
        <v>2199</v>
      </c>
      <c r="B1612" s="83" t="str">
        <f t="shared" si="403"/>
        <v>INSURED_ZIP_CD_1</v>
      </c>
      <c r="C1612" s="87" t="s">
        <v>2167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2082</v>
      </c>
      <c r="H1612" s="97" t="s">
        <v>2164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1739</v>
      </c>
      <c r="AA1612" s="79"/>
    </row>
    <row r="1613" spans="1:27">
      <c r="A1613" s="88" t="s">
        <v>2198</v>
      </c>
      <c r="B1613" s="83" t="str">
        <f t="shared" si="403"/>
        <v>INSURED_ZIP_CD_2</v>
      </c>
      <c r="C1613" s="87" t="s">
        <v>2165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2082</v>
      </c>
      <c r="H1613" s="97" t="s">
        <v>2164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1739</v>
      </c>
      <c r="AA1613" s="79"/>
    </row>
    <row r="1614" spans="1:27">
      <c r="A1614" s="88" t="s">
        <v>2197</v>
      </c>
      <c r="B1614" s="83" t="str">
        <f t="shared" si="403"/>
        <v>INSURED_MAIL</v>
      </c>
      <c r="C1614" s="87" t="s">
        <v>2196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2082</v>
      </c>
      <c r="H1614" s="97" t="s">
        <v>2195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1739</v>
      </c>
      <c r="AA1614" s="79"/>
    </row>
    <row r="1615" spans="1:27">
      <c r="A1615" s="88" t="s">
        <v>2194</v>
      </c>
      <c r="B1615" s="83" t="str">
        <f t="shared" si="403"/>
        <v>INSURED_JOB_CD</v>
      </c>
      <c r="C1615" s="87" t="s">
        <v>2193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2082</v>
      </c>
      <c r="H1615" s="97" t="s">
        <v>2140</v>
      </c>
      <c r="I1615" s="97" t="s">
        <v>1737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1739</v>
      </c>
      <c r="AA1615" s="79"/>
    </row>
    <row r="1616" spans="1:27">
      <c r="A1616" s="88" t="s">
        <v>2192</v>
      </c>
      <c r="B1616" s="83" t="str">
        <f t="shared" si="403"/>
        <v>INSURED_DISP_ORDER</v>
      </c>
      <c r="C1616" s="87" t="s">
        <v>2191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2082</v>
      </c>
      <c r="H1616" s="97" t="s">
        <v>2190</v>
      </c>
      <c r="I1616" s="97" t="s">
        <v>723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1739</v>
      </c>
      <c r="AA1616" s="79"/>
    </row>
    <row r="1617" spans="1:27">
      <c r="A1617" s="88" t="s">
        <v>2189</v>
      </c>
      <c r="B1617" s="83" t="str">
        <f t="shared" si="403"/>
        <v>DAIHYO_GROUP_NO</v>
      </c>
      <c r="C1617" s="87" t="s">
        <v>2189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2188</v>
      </c>
      <c r="H1617" s="97" t="s">
        <v>2187</v>
      </c>
      <c r="I1617" s="97" t="s">
        <v>2186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1487</v>
      </c>
      <c r="AA1617" s="79"/>
    </row>
    <row r="1618" spans="1:27">
      <c r="A1618" s="88" t="s">
        <v>2185</v>
      </c>
      <c r="B1618" s="83" t="str">
        <f t="shared" si="403"/>
        <v>TRD_IF_EXEC_DATE</v>
      </c>
      <c r="C1618" s="87" t="s">
        <v>1483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2184</v>
      </c>
      <c r="H1618" s="97" t="s">
        <v>2183</v>
      </c>
      <c r="I1618" s="127" t="s">
        <v>2096</v>
      </c>
      <c r="J1618" s="97" t="s">
        <v>2182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1739</v>
      </c>
      <c r="AA1618" s="79"/>
    </row>
    <row r="1619" spans="1:27">
      <c r="A1619" s="88" t="s">
        <v>2181</v>
      </c>
      <c r="B1619" s="83" t="str">
        <f t="shared" si="403"/>
        <v>SEKKEI_PLAN_NO</v>
      </c>
      <c r="C1619" s="87" t="s">
        <v>2181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2178</v>
      </c>
      <c r="H1619" s="97" t="s">
        <v>2180</v>
      </c>
      <c r="I1619" s="97" t="s">
        <v>2117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1739</v>
      </c>
      <c r="AA1619" s="79"/>
    </row>
    <row r="1620" spans="1:27">
      <c r="A1620" s="88" t="s">
        <v>2179</v>
      </c>
      <c r="B1620" s="83" t="str">
        <f t="shared" si="403"/>
        <v>SEKKEI_SHURUI_KB</v>
      </c>
      <c r="C1620" s="87" t="s">
        <v>1594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2178</v>
      </c>
      <c r="H1620" s="97" t="s">
        <v>2177</v>
      </c>
      <c r="I1620" s="97" t="s">
        <v>1733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182</v>
      </c>
      <c r="AA1620" s="79"/>
    </row>
    <row r="1621" spans="1:27">
      <c r="A1621" s="88" t="s">
        <v>2176</v>
      </c>
      <c r="B1621" s="83" t="str">
        <f t="shared" si="403"/>
        <v>ZEIKOKA_UMU_KB</v>
      </c>
      <c r="C1621" s="87" t="s">
        <v>180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2175</v>
      </c>
      <c r="H1621" s="97" t="s">
        <v>2042</v>
      </c>
      <c r="I1621" s="97" t="s">
        <v>1733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1739</v>
      </c>
      <c r="AA1621" s="79"/>
    </row>
    <row r="1622" spans="1:27">
      <c r="A1622" s="88" t="s">
        <v>2174</v>
      </c>
      <c r="B1622" s="83" t="str">
        <f t="shared" si="403"/>
        <v>OFFER_STS</v>
      </c>
      <c r="C1622" s="87" t="s">
        <v>2173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2172</v>
      </c>
      <c r="H1622" s="97" t="s">
        <v>853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1739</v>
      </c>
      <c r="AA1622" s="79"/>
    </row>
    <row r="1623" spans="1:27">
      <c r="A1623" s="88" t="s">
        <v>2171</v>
      </c>
      <c r="B1623" s="83" t="str">
        <f t="shared" si="403"/>
        <v>PLCYHLDR_ZOKUGARA</v>
      </c>
      <c r="C1623" s="87" t="s">
        <v>2170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2142</v>
      </c>
      <c r="H1623" s="97" t="s">
        <v>2169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1739</v>
      </c>
      <c r="AA1623" s="79"/>
    </row>
    <row r="1624" spans="1:27">
      <c r="A1624" s="88" t="s">
        <v>2168</v>
      </c>
      <c r="B1624" s="83" t="str">
        <f t="shared" si="403"/>
        <v>PLCYHLDR_ZIP_CD_1</v>
      </c>
      <c r="C1624" s="87" t="s">
        <v>2167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1123</v>
      </c>
      <c r="H1624" s="97" t="s">
        <v>2164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1739</v>
      </c>
      <c r="AA1624" s="79"/>
    </row>
    <row r="1625" spans="1:27">
      <c r="A1625" s="88" t="s">
        <v>2166</v>
      </c>
      <c r="B1625" s="83" t="str">
        <f t="shared" si="403"/>
        <v>PLCYHLDR_ZIP_CD_2</v>
      </c>
      <c r="C1625" s="87" t="s">
        <v>2165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1123</v>
      </c>
      <c r="H1625" s="97" t="s">
        <v>2164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1739</v>
      </c>
      <c r="AA1625" s="79"/>
    </row>
    <row r="1626" spans="1:27">
      <c r="A1626" s="88" t="s">
        <v>2163</v>
      </c>
      <c r="B1626" s="83" t="str">
        <f t="shared" si="403"/>
        <v>PLCYHLDR_ADDR_CD</v>
      </c>
      <c r="C1626" s="87" t="s">
        <v>2162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1123</v>
      </c>
      <c r="H1626" s="97" t="s">
        <v>2155</v>
      </c>
      <c r="I1626" s="97" t="s">
        <v>1737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1739</v>
      </c>
      <c r="AA1626" s="79"/>
    </row>
    <row r="1627" spans="1:27">
      <c r="A1627" s="88" t="s">
        <v>2161</v>
      </c>
      <c r="B1627" s="83" t="str">
        <f t="shared" si="403"/>
        <v>PLCYHLDR_ADDR_1</v>
      </c>
      <c r="C1627" s="87" t="s">
        <v>2160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2142</v>
      </c>
      <c r="H1627" s="97" t="s">
        <v>2155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1739</v>
      </c>
      <c r="AA1627" s="79"/>
    </row>
    <row r="1628" spans="1:27">
      <c r="A1628" s="88" t="s">
        <v>2159</v>
      </c>
      <c r="B1628" s="83" t="str">
        <f t="shared" si="403"/>
        <v>PLCYHLDR_ADDR_2</v>
      </c>
      <c r="C1628" s="87" t="s">
        <v>2158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2142</v>
      </c>
      <c r="H1628" s="97" t="s">
        <v>2155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1739</v>
      </c>
      <c r="AA1628" s="79"/>
    </row>
    <row r="1629" spans="1:27">
      <c r="A1629" s="88" t="s">
        <v>2157</v>
      </c>
      <c r="B1629" s="83" t="str">
        <f t="shared" si="403"/>
        <v>PLCYHLDR_ADDR_3</v>
      </c>
      <c r="C1629" s="87" t="s">
        <v>2156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2142</v>
      </c>
      <c r="H1629" s="97" t="s">
        <v>2155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1739</v>
      </c>
      <c r="AA1629" s="79"/>
    </row>
    <row r="1630" spans="1:27">
      <c r="A1630" s="88" t="s">
        <v>2154</v>
      </c>
      <c r="B1630" s="83" t="str">
        <f t="shared" si="403"/>
        <v>PLCYHLDR_TEL_NO_1</v>
      </c>
      <c r="C1630" s="87" t="s">
        <v>1676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2142</v>
      </c>
      <c r="H1630" s="97" t="s">
        <v>2151</v>
      </c>
      <c r="I1630" s="97" t="s">
        <v>1890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1739</v>
      </c>
      <c r="AA1630" s="79"/>
    </row>
    <row r="1631" spans="1:27">
      <c r="A1631" s="88" t="s">
        <v>2153</v>
      </c>
      <c r="B1631" s="83" t="str">
        <f t="shared" si="403"/>
        <v>PLCYHLDR_TEL_NO_2</v>
      </c>
      <c r="C1631" s="87" t="s">
        <v>1674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2142</v>
      </c>
      <c r="H1631" s="97" t="s">
        <v>2151</v>
      </c>
      <c r="I1631" s="97" t="s">
        <v>1890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1739</v>
      </c>
      <c r="AA1631" s="79"/>
    </row>
    <row r="1632" spans="1:27">
      <c r="A1632" s="88" t="s">
        <v>2152</v>
      </c>
      <c r="B1632" s="83" t="str">
        <f t="shared" si="403"/>
        <v>PLCYHLDR_TEL_NO_3</v>
      </c>
      <c r="C1632" s="87" t="s">
        <v>1672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2142</v>
      </c>
      <c r="H1632" s="97" t="s">
        <v>2151</v>
      </c>
      <c r="I1632" s="97" t="s">
        <v>1890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1101</v>
      </c>
      <c r="AA1632" s="79"/>
    </row>
    <row r="1633" spans="1:27">
      <c r="A1633" s="88" t="s">
        <v>2150</v>
      </c>
      <c r="B1633" s="83" t="str">
        <f t="shared" si="403"/>
        <v>PLCYHLDR_NAME_SIGN</v>
      </c>
      <c r="C1633" s="87" t="s">
        <v>2137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2149</v>
      </c>
      <c r="H1633" s="97" t="s">
        <v>1403</v>
      </c>
      <c r="I1633" s="97" t="s">
        <v>2135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1739</v>
      </c>
      <c r="AA1633" s="79"/>
    </row>
    <row r="1634" spans="1:27">
      <c r="A1634" s="88" t="s">
        <v>2148</v>
      </c>
      <c r="B1634" s="83" t="str">
        <f t="shared" si="403"/>
        <v>PLCYHLDR_KIMMUSAKI</v>
      </c>
      <c r="C1634" s="87" t="s">
        <v>2147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2142</v>
      </c>
      <c r="H1634" s="97" t="s">
        <v>1979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1739</v>
      </c>
      <c r="AA1634" s="79"/>
    </row>
    <row r="1635" spans="1:27">
      <c r="A1635" s="88" t="s">
        <v>2146</v>
      </c>
      <c r="B1635" s="83" t="str">
        <f t="shared" si="403"/>
        <v>PLCYHLDR_SHOKUMU_C</v>
      </c>
      <c r="C1635" s="87" t="s">
        <v>2145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2142</v>
      </c>
      <c r="H1635" s="97" t="s">
        <v>1976</v>
      </c>
      <c r="I1635" s="97" t="s">
        <v>1951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1739</v>
      </c>
      <c r="AA1635" s="79"/>
    </row>
    <row r="1636" spans="1:27">
      <c r="A1636" s="88" t="s">
        <v>2144</v>
      </c>
      <c r="B1636" s="83" t="str">
        <f t="shared" si="403"/>
        <v>PLCYHLDR_SHOKUMU_C_DET</v>
      </c>
      <c r="C1636" s="87" t="s">
        <v>2132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2142</v>
      </c>
      <c r="H1636" s="97" t="s">
        <v>1976</v>
      </c>
      <c r="I1636" s="97" t="s">
        <v>1951</v>
      </c>
      <c r="J1636" s="97" t="s">
        <v>1827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1739</v>
      </c>
      <c r="AA1636" s="79"/>
    </row>
    <row r="1637" spans="1:27">
      <c r="A1637" s="88" t="s">
        <v>2143</v>
      </c>
      <c r="B1637" s="83" t="str">
        <f t="shared" si="403"/>
        <v>PLCYHLDR_GUARDIAN_SIGN</v>
      </c>
      <c r="C1637" s="87" t="s">
        <v>1921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2142</v>
      </c>
      <c r="H1637" s="97" t="s">
        <v>2125</v>
      </c>
      <c r="I1637" s="97" t="s">
        <v>2135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1739</v>
      </c>
      <c r="AA1637" s="79"/>
    </row>
    <row r="1638" spans="1:27">
      <c r="A1638" s="88" t="s">
        <v>2141</v>
      </c>
      <c r="B1638" s="83" t="str">
        <f t="shared" si="403"/>
        <v>INSURED_JOB_NAME</v>
      </c>
      <c r="C1638" s="87" t="s">
        <v>608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2082</v>
      </c>
      <c r="H1638" s="97" t="s">
        <v>2140</v>
      </c>
      <c r="I1638" s="97" t="s">
        <v>2139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1101</v>
      </c>
      <c r="AA1638" s="79"/>
    </row>
    <row r="1639" spans="1:27">
      <c r="A1639" s="88" t="s">
        <v>2138</v>
      </c>
      <c r="B1639" s="83" t="str">
        <f t="shared" si="403"/>
        <v>INSURED_NAME_SIGN</v>
      </c>
      <c r="C1639" s="87" t="s">
        <v>2137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2136</v>
      </c>
      <c r="H1639" s="97" t="s">
        <v>1403</v>
      </c>
      <c r="I1639" s="97" t="s">
        <v>2135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1739</v>
      </c>
      <c r="AA1639" s="79"/>
    </row>
    <row r="1640" spans="1:27">
      <c r="A1640" s="88" t="s">
        <v>2134</v>
      </c>
      <c r="B1640" s="83" t="str">
        <f t="shared" si="403"/>
        <v>INSURED_NENSHU</v>
      </c>
      <c r="C1640" s="87" t="s">
        <v>753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11</v>
      </c>
      <c r="F1640" s="82" t="str">
        <f t="shared" ref="F1640:F1703" si="418">IF(VLOOKUP($C1640,ドメイン,4,FALSE)=0,"",VLOOKUP($C1640,ドメイン,4,FALSE))</f>
        <v/>
      </c>
      <c r="G1640" s="98" t="s">
        <v>2082</v>
      </c>
      <c r="H1640" s="97" t="s">
        <v>1973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1739</v>
      </c>
      <c r="AA1640" s="79"/>
    </row>
    <row r="1641" spans="1:27">
      <c r="A1641" s="88" t="s">
        <v>2133</v>
      </c>
      <c r="B1641" s="83" t="str">
        <f t="shared" si="403"/>
        <v>INSURED_SHOKUMU_C_DET</v>
      </c>
      <c r="C1641" s="87" t="s">
        <v>2132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2082</v>
      </c>
      <c r="H1641" s="97" t="s">
        <v>1976</v>
      </c>
      <c r="I1641" s="97" t="s">
        <v>1951</v>
      </c>
      <c r="J1641" s="97" t="s">
        <v>2044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1739</v>
      </c>
      <c r="AA1641" s="79"/>
    </row>
    <row r="1642" spans="1:27">
      <c r="A1642" s="88" t="s">
        <v>2131</v>
      </c>
      <c r="B1642" s="83" t="str">
        <f t="shared" si="403"/>
        <v>INSURED_HEIGHT</v>
      </c>
      <c r="C1642" s="87" t="s">
        <v>2130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2082</v>
      </c>
      <c r="H1642" s="97" t="s">
        <v>2130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1739</v>
      </c>
      <c r="AA1642" s="79"/>
    </row>
    <row r="1643" spans="1:27">
      <c r="A1643" s="88" t="s">
        <v>2129</v>
      </c>
      <c r="B1643" s="83" t="str">
        <f t="shared" si="403"/>
        <v>INSURED_WEIGHT</v>
      </c>
      <c r="C1643" s="87" t="s">
        <v>2128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2082</v>
      </c>
      <c r="H1643" s="97" t="s">
        <v>2127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1739</v>
      </c>
      <c r="AA1643" s="79"/>
    </row>
    <row r="1644" spans="1:27">
      <c r="A1644" s="88" t="s">
        <v>2126</v>
      </c>
      <c r="B1644" s="83" t="str">
        <f t="shared" si="403"/>
        <v>INSURED_GUARDIAN_SIGN</v>
      </c>
      <c r="C1644" s="87" t="s">
        <v>1921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2082</v>
      </c>
      <c r="H1644" s="97" t="s">
        <v>2125</v>
      </c>
      <c r="I1644" s="97" t="s">
        <v>1918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182</v>
      </c>
      <c r="AA1644" s="79"/>
    </row>
    <row r="1645" spans="1:27">
      <c r="A1645" s="88" t="s">
        <v>2124</v>
      </c>
      <c r="B1645" s="83" t="str">
        <f t="shared" si="403"/>
        <v>ADDR_MOD_FLG</v>
      </c>
      <c r="C1645" s="87" t="s">
        <v>2121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2123</v>
      </c>
      <c r="H1645" s="97" t="s">
        <v>2122</v>
      </c>
      <c r="I1645" s="97" t="s">
        <v>2121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182</v>
      </c>
      <c r="AA1645" s="79"/>
    </row>
    <row r="1646" spans="1:27">
      <c r="A1646" s="88" t="s">
        <v>2120</v>
      </c>
      <c r="B1646" s="83" t="str">
        <f t="shared" si="403"/>
        <v>ILST_NO</v>
      </c>
      <c r="C1646" s="87" t="s">
        <v>2119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2118</v>
      </c>
      <c r="H1646" s="97" t="s">
        <v>2117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182</v>
      </c>
      <c r="AA1646" s="79"/>
    </row>
    <row r="1647" spans="1:27">
      <c r="A1647" s="88" t="s">
        <v>2116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2115</v>
      </c>
      <c r="H1647" s="97" t="s">
        <v>2114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182</v>
      </c>
      <c r="AA1647" s="79"/>
    </row>
    <row r="1648" spans="1:27">
      <c r="A1648" s="88" t="s">
        <v>2113</v>
      </c>
      <c r="B1648" s="83" t="str">
        <f t="shared" si="403"/>
        <v>ADV_HOHO_KB</v>
      </c>
      <c r="C1648" s="87" t="s">
        <v>180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2112</v>
      </c>
      <c r="H1648" s="97" t="s">
        <v>1958</v>
      </c>
      <c r="I1648" s="97" t="s">
        <v>1733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1739</v>
      </c>
      <c r="AA1648" s="79"/>
    </row>
    <row r="1649" spans="1:27">
      <c r="A1649" s="88" t="s">
        <v>2111</v>
      </c>
      <c r="B1649" s="83" t="str">
        <f t="shared" si="403"/>
        <v>DOC_UKETSUKE_NO</v>
      </c>
      <c r="C1649" s="87" t="s">
        <v>2110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2109</v>
      </c>
      <c r="H1649" s="97" t="s">
        <v>2108</v>
      </c>
      <c r="I1649" s="97" t="s">
        <v>1890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182</v>
      </c>
      <c r="AA1649" s="79"/>
    </row>
    <row r="1650" spans="1:27">
      <c r="A1650" s="88" t="s">
        <v>2107</v>
      </c>
      <c r="B1650" s="83" t="str">
        <f t="shared" si="403"/>
        <v>SHITEI_PROXY_SEIKYU_RIDER_FLG</v>
      </c>
      <c r="C1650" s="87" t="s">
        <v>180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2106</v>
      </c>
      <c r="H1650" s="97" t="s">
        <v>2105</v>
      </c>
      <c r="I1650" s="97" t="s">
        <v>2104</v>
      </c>
      <c r="J1650" s="97" t="s">
        <v>2070</v>
      </c>
      <c r="K1650" s="97" t="s">
        <v>1728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1739</v>
      </c>
      <c r="AA1650" s="79"/>
    </row>
    <row r="1651" spans="1:27">
      <c r="A1651" s="88" t="s">
        <v>6478</v>
      </c>
      <c r="B1651" s="83" t="str">
        <f t="shared" si="403"/>
        <v>RPT_ID</v>
      </c>
      <c r="C1651" s="87" t="s">
        <v>2103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2102</v>
      </c>
      <c r="H1651" s="97" t="s">
        <v>746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1739</v>
      </c>
      <c r="AA1651" s="79"/>
    </row>
    <row r="1652" spans="1:27">
      <c r="A1652" s="88" t="s">
        <v>2101</v>
      </c>
      <c r="B1652" s="83" t="str">
        <f t="shared" si="403"/>
        <v>STS</v>
      </c>
      <c r="C1652" s="87" t="s">
        <v>2101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2101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1739</v>
      </c>
      <c r="AA1652" s="79"/>
    </row>
    <row r="1653" spans="1:27">
      <c r="A1653" s="88" t="s">
        <v>2100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2099</v>
      </c>
      <c r="H1653" s="97" t="s">
        <v>1890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1739</v>
      </c>
      <c r="AA1653" s="79"/>
    </row>
    <row r="1654" spans="1:27">
      <c r="A1654" s="88" t="s">
        <v>2098</v>
      </c>
      <c r="B1654" s="83" t="str">
        <f t="shared" si="403"/>
        <v>EXEC_PRM</v>
      </c>
      <c r="C1654" s="87" t="s">
        <v>2097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2096</v>
      </c>
      <c r="H1654" s="97" t="s">
        <v>2095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1739</v>
      </c>
      <c r="AA1654" s="79"/>
    </row>
    <row r="1655" spans="1:27">
      <c r="A1655" s="88" t="s">
        <v>2094</v>
      </c>
      <c r="B1655" s="83" t="str">
        <f t="shared" si="403"/>
        <v>OUTPUT_FILE_NAME</v>
      </c>
      <c r="C1655" s="87" t="s">
        <v>2093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2091</v>
      </c>
      <c r="H1655" s="97" t="s">
        <v>2090</v>
      </c>
      <c r="I1655" s="97" t="s">
        <v>728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1739</v>
      </c>
      <c r="AA1655" s="79"/>
    </row>
    <row r="1656" spans="1:27">
      <c r="A1656" s="88" t="s">
        <v>2092</v>
      </c>
      <c r="B1656" s="83" t="str">
        <f t="shared" si="403"/>
        <v>OUTPUT_FILE_PATH</v>
      </c>
      <c r="C1656" s="87" t="s">
        <v>1921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2091</v>
      </c>
      <c r="H1656" s="97" t="s">
        <v>2090</v>
      </c>
      <c r="I1656" s="97" t="s">
        <v>2089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1487</v>
      </c>
      <c r="AA1656" s="79"/>
    </row>
    <row r="1657" spans="1:27">
      <c r="A1657" s="88" t="s">
        <v>2088</v>
      </c>
      <c r="B1657" s="83" t="str">
        <f t="shared" si="403"/>
        <v>ENTRY_DATE</v>
      </c>
      <c r="C1657" s="87" t="s">
        <v>1483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2085</v>
      </c>
      <c r="H1657" s="97" t="s">
        <v>2087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1739</v>
      </c>
      <c r="AA1657" s="79"/>
    </row>
    <row r="1658" spans="1:27">
      <c r="A1658" s="88" t="s">
        <v>2086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2085</v>
      </c>
      <c r="H1658" s="97" t="s">
        <v>2084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1739</v>
      </c>
      <c r="AA1658" s="79"/>
    </row>
    <row r="1659" spans="1:27">
      <c r="A1659" s="88" t="s">
        <v>2083</v>
      </c>
      <c r="B1659" s="83" t="str">
        <f t="shared" si="403"/>
        <v>T_INSURED</v>
      </c>
      <c r="C1659" s="87" t="s">
        <v>2066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2065</v>
      </c>
      <c r="H1659" s="97" t="s">
        <v>2082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1062</v>
      </c>
      <c r="AA1659" s="79"/>
    </row>
    <row r="1660" spans="1:27">
      <c r="A1660" s="88" t="s">
        <v>2081</v>
      </c>
      <c r="B1660" s="83" t="str">
        <f t="shared" si="403"/>
        <v>T_SEKKEI_PLAN</v>
      </c>
      <c r="C1660" s="87" t="s">
        <v>1703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2076</v>
      </c>
      <c r="H1660" s="97" t="s">
        <v>2075</v>
      </c>
      <c r="I1660" s="97" t="s">
        <v>2074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1062</v>
      </c>
      <c r="AA1660" s="79"/>
    </row>
    <row r="1661" spans="1:27">
      <c r="A1661" s="88" t="s">
        <v>2080</v>
      </c>
      <c r="B1661" s="83" t="str">
        <f t="shared" si="403"/>
        <v>T_ILST</v>
      </c>
      <c r="C1661" s="87" t="s">
        <v>1703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2076</v>
      </c>
      <c r="H1661" s="97" t="s">
        <v>1655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1062</v>
      </c>
      <c r="AA1661" s="79"/>
    </row>
    <row r="1662" spans="1:27">
      <c r="A1662" s="88" t="s">
        <v>2079</v>
      </c>
      <c r="B1662" s="83" t="str">
        <f t="shared" si="403"/>
        <v>T_SEKKEI_PLAN_PROC</v>
      </c>
      <c r="C1662" s="87" t="s">
        <v>1703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2076</v>
      </c>
      <c r="H1662" s="97" t="s">
        <v>2075</v>
      </c>
      <c r="I1662" s="97" t="s">
        <v>2074</v>
      </c>
      <c r="J1662" s="97" t="s">
        <v>2078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1062</v>
      </c>
      <c r="AA1662" s="79"/>
    </row>
    <row r="1663" spans="1:27">
      <c r="A1663" s="88" t="s">
        <v>2077</v>
      </c>
      <c r="B1663" s="83" t="str">
        <f t="shared" si="403"/>
        <v>T_SEKKEI_PLAN_TASHA_PLCY</v>
      </c>
      <c r="C1663" s="87" t="s">
        <v>1703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2076</v>
      </c>
      <c r="H1663" s="97" t="s">
        <v>2075</v>
      </c>
      <c r="I1663" s="97" t="s">
        <v>2074</v>
      </c>
      <c r="J1663" s="97" t="s">
        <v>2073</v>
      </c>
      <c r="K1663" s="97" t="s">
        <v>1484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1739</v>
      </c>
      <c r="AA1663" s="79"/>
    </row>
    <row r="1664" spans="1:27">
      <c r="A1664" s="88" t="s">
        <v>2072</v>
      </c>
      <c r="B1664" s="83" t="str">
        <f t="shared" si="403"/>
        <v>T_AGENT_REPORT</v>
      </c>
      <c r="C1664" s="87" t="s">
        <v>2066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2065</v>
      </c>
      <c r="H1664" s="97" t="s">
        <v>569</v>
      </c>
      <c r="I1664" s="97" t="s">
        <v>1667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1739</v>
      </c>
      <c r="AA1664" s="79"/>
    </row>
    <row r="1665" spans="1:27">
      <c r="A1665" s="88" t="s">
        <v>2071</v>
      </c>
      <c r="B1665" s="83" t="str">
        <f t="shared" si="403"/>
        <v>T_ILST_B_PLCY_RIDER</v>
      </c>
      <c r="C1665" s="87" t="s">
        <v>2066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2065</v>
      </c>
      <c r="H1665" s="97" t="s">
        <v>1655</v>
      </c>
      <c r="I1665" s="97" t="s">
        <v>1577</v>
      </c>
      <c r="J1665" s="97" t="s">
        <v>2070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1739</v>
      </c>
      <c r="AA1665" s="79"/>
    </row>
    <row r="1666" spans="1:27">
      <c r="A1666" s="88" t="s">
        <v>2069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2066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2065</v>
      </c>
      <c r="H1666" s="97" t="s">
        <v>1655</v>
      </c>
      <c r="I1666" s="97" t="s">
        <v>2068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1739</v>
      </c>
      <c r="AA1666" s="79"/>
    </row>
    <row r="1667" spans="1:27">
      <c r="A1667" s="88" t="s">
        <v>2067</v>
      </c>
      <c r="B1667" s="83" t="str">
        <f t="shared" si="419"/>
        <v>T_ILST_PAYEE</v>
      </c>
      <c r="C1667" s="87" t="s">
        <v>2066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2065</v>
      </c>
      <c r="H1667" s="97" t="s">
        <v>1655</v>
      </c>
      <c r="I1667" s="97" t="s">
        <v>1508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182</v>
      </c>
      <c r="AA1667" s="79"/>
    </row>
    <row r="1668" spans="1:27">
      <c r="A1668" s="88" t="s">
        <v>2064</v>
      </c>
      <c r="B1668" s="83" t="str">
        <f t="shared" si="419"/>
        <v>B_PLCY_RIDER_KB</v>
      </c>
      <c r="C1668" s="87" t="s">
        <v>180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2063</v>
      </c>
      <c r="H1668" s="97" t="s">
        <v>1432</v>
      </c>
      <c r="I1668" s="97" t="s">
        <v>1733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182</v>
      </c>
      <c r="AA1668" s="79"/>
    </row>
    <row r="1669" spans="1:27">
      <c r="A1669" s="88" t="s">
        <v>2062</v>
      </c>
      <c r="B1669" s="83" t="str">
        <f t="shared" si="419"/>
        <v>ATAMAKIN_KB</v>
      </c>
      <c r="C1669" s="87" t="s">
        <v>180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1585</v>
      </c>
      <c r="H1669" s="97" t="s">
        <v>180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1739</v>
      </c>
      <c r="AA1669" s="79"/>
    </row>
    <row r="1670" spans="1:27">
      <c r="A1670" s="88" t="s">
        <v>2061</v>
      </c>
      <c r="B1670" s="83" t="str">
        <f t="shared" si="419"/>
        <v>IKO_KAKUNIN_FLG</v>
      </c>
      <c r="C1670" s="87" t="s">
        <v>1728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2060</v>
      </c>
      <c r="H1670" s="97" t="s">
        <v>1926</v>
      </c>
      <c r="I1670" s="97" t="s">
        <v>465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1739</v>
      </c>
      <c r="AA1670" s="79"/>
    </row>
    <row r="1671" spans="1:27">
      <c r="A1671" s="88" t="s">
        <v>2059</v>
      </c>
      <c r="B1671" s="83" t="str">
        <f t="shared" si="419"/>
        <v>WEB_CLAUSE_FLG</v>
      </c>
      <c r="C1671" s="87" t="s">
        <v>1728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2058</v>
      </c>
      <c r="H1671" s="97" t="s">
        <v>2055</v>
      </c>
      <c r="I1671" s="97" t="s">
        <v>465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1739</v>
      </c>
      <c r="AA1671" s="79"/>
    </row>
    <row r="1672" spans="1:27">
      <c r="A1672" s="88" t="s">
        <v>2057</v>
      </c>
      <c r="B1672" s="83" t="str">
        <f t="shared" si="419"/>
        <v>KAMI_CLAUSE_FLG</v>
      </c>
      <c r="C1672" s="87" t="s">
        <v>1728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2056</v>
      </c>
      <c r="H1672" s="97" t="s">
        <v>2055</v>
      </c>
      <c r="I1672" s="97" t="s">
        <v>1728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182</v>
      </c>
      <c r="AA1672" s="79"/>
    </row>
    <row r="1673" spans="1:27">
      <c r="A1673" s="88" t="s">
        <v>2054</v>
      </c>
      <c r="B1673" s="83" t="str">
        <f t="shared" si="419"/>
        <v>HNY_KOKUCHI_JIKO_1</v>
      </c>
      <c r="C1673" s="87" t="s">
        <v>180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1775</v>
      </c>
      <c r="H1673" s="97" t="s">
        <v>2027</v>
      </c>
      <c r="I1673" s="97" t="s">
        <v>2026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182</v>
      </c>
      <c r="AA1673" s="79"/>
    </row>
    <row r="1674" spans="1:27">
      <c r="A1674" s="88" t="s">
        <v>2053</v>
      </c>
      <c r="B1674" s="83" t="str">
        <f t="shared" si="419"/>
        <v>HNY_KOKUCHI_JIKO_2</v>
      </c>
      <c r="C1674" s="87" t="s">
        <v>180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1775</v>
      </c>
      <c r="H1674" s="97" t="s">
        <v>2027</v>
      </c>
      <c r="I1674" s="97" t="s">
        <v>2026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182</v>
      </c>
      <c r="AA1674" s="79"/>
    </row>
    <row r="1675" spans="1:27">
      <c r="A1675" s="88" t="s">
        <v>2052</v>
      </c>
      <c r="B1675" s="83" t="str">
        <f t="shared" si="419"/>
        <v>HNY_KOKUCHI_JIKO_3</v>
      </c>
      <c r="C1675" s="87" t="s">
        <v>180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1775</v>
      </c>
      <c r="H1675" s="97" t="s">
        <v>2027</v>
      </c>
      <c r="I1675" s="97" t="s">
        <v>2026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182</v>
      </c>
      <c r="AA1675" s="79"/>
    </row>
    <row r="1676" spans="1:27">
      <c r="A1676" s="88" t="s">
        <v>2051</v>
      </c>
      <c r="B1676" s="83" t="str">
        <f t="shared" si="419"/>
        <v>HNY_KOKUCHI_JIKO_4</v>
      </c>
      <c r="C1676" s="87" t="s">
        <v>180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1775</v>
      </c>
      <c r="H1676" s="97" t="s">
        <v>2027</v>
      </c>
      <c r="I1676" s="97" t="s">
        <v>2026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182</v>
      </c>
      <c r="AA1676" s="79"/>
    </row>
    <row r="1677" spans="1:27">
      <c r="A1677" s="88" t="s">
        <v>2050</v>
      </c>
      <c r="B1677" s="83" t="str">
        <f t="shared" si="419"/>
        <v>HNY_KOKUCHI_JIKO_5</v>
      </c>
      <c r="C1677" s="87" t="s">
        <v>180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1775</v>
      </c>
      <c r="H1677" s="97" t="s">
        <v>2027</v>
      </c>
      <c r="I1677" s="97" t="s">
        <v>2026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182</v>
      </c>
      <c r="AA1677" s="79"/>
    </row>
    <row r="1678" spans="1:27">
      <c r="A1678" s="88" t="s">
        <v>2049</v>
      </c>
      <c r="B1678" s="83" t="str">
        <f t="shared" si="419"/>
        <v>HNY_KOKUCHI_JIKO_6</v>
      </c>
      <c r="C1678" s="87" t="s">
        <v>180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1775</v>
      </c>
      <c r="H1678" s="97" t="s">
        <v>2027</v>
      </c>
      <c r="I1678" s="97" t="s">
        <v>2026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182</v>
      </c>
      <c r="AA1678" s="79"/>
    </row>
    <row r="1679" spans="1:27">
      <c r="A1679" s="88" t="s">
        <v>2048</v>
      </c>
      <c r="B1679" s="83" t="str">
        <f t="shared" si="419"/>
        <v>HNY_KOKUCHI_JIKO_7</v>
      </c>
      <c r="C1679" s="87" t="s">
        <v>180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1775</v>
      </c>
      <c r="H1679" s="97" t="s">
        <v>2027</v>
      </c>
      <c r="I1679" s="97" t="s">
        <v>2026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182</v>
      </c>
      <c r="AA1679" s="79"/>
    </row>
    <row r="1680" spans="1:27">
      <c r="A1680" s="88" t="s">
        <v>2047</v>
      </c>
      <c r="B1680" s="83" t="str">
        <f t="shared" si="419"/>
        <v>HNY_GAN_KOKUCHI_JIKO_1</v>
      </c>
      <c r="C1680" s="87" t="s">
        <v>180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1775</v>
      </c>
      <c r="H1680" s="97" t="s">
        <v>2028</v>
      </c>
      <c r="I1680" s="97" t="s">
        <v>2027</v>
      </c>
      <c r="J1680" s="97" t="s">
        <v>2026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182</v>
      </c>
      <c r="AA1680" s="79"/>
    </row>
    <row r="1681" spans="1:27">
      <c r="A1681" s="88" t="s">
        <v>2046</v>
      </c>
      <c r="B1681" s="83" t="str">
        <f t="shared" si="419"/>
        <v>HNY_GAN_KOKUCHI_JIKO_2</v>
      </c>
      <c r="C1681" s="87" t="s">
        <v>180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1775</v>
      </c>
      <c r="H1681" s="97" t="s">
        <v>2028</v>
      </c>
      <c r="I1681" s="97" t="s">
        <v>2027</v>
      </c>
      <c r="J1681" s="97" t="s">
        <v>2026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182</v>
      </c>
      <c r="AA1681" s="79"/>
    </row>
    <row r="1682" spans="1:27">
      <c r="A1682" s="88" t="s">
        <v>2045</v>
      </c>
      <c r="B1682" s="83" t="str">
        <f t="shared" si="419"/>
        <v>DET_KOKUCHI_KISAI_UMU</v>
      </c>
      <c r="C1682" s="87" t="s">
        <v>180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2044</v>
      </c>
      <c r="H1682" s="97" t="s">
        <v>2027</v>
      </c>
      <c r="I1682" s="97" t="s">
        <v>2043</v>
      </c>
      <c r="J1682" s="97" t="s">
        <v>2042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182</v>
      </c>
      <c r="AA1682" s="79"/>
    </row>
    <row r="1683" spans="1:27">
      <c r="A1683" s="88" t="s">
        <v>2041</v>
      </c>
      <c r="B1683" s="83" t="str">
        <f t="shared" si="419"/>
        <v>GAN_KOKUCHI_JIKO_1</v>
      </c>
      <c r="C1683" s="87" t="s">
        <v>180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2028</v>
      </c>
      <c r="H1683" s="97" t="s">
        <v>2027</v>
      </c>
      <c r="I1683" s="97" t="s">
        <v>2026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182</v>
      </c>
      <c r="AA1683" s="79"/>
    </row>
    <row r="1684" spans="1:27">
      <c r="A1684" s="88" t="s">
        <v>2040</v>
      </c>
      <c r="B1684" s="83" t="str">
        <f t="shared" si="419"/>
        <v>GAN_KOKUCHI_JIKO_2</v>
      </c>
      <c r="C1684" s="87" t="s">
        <v>180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2028</v>
      </c>
      <c r="H1684" s="97" t="s">
        <v>2027</v>
      </c>
      <c r="I1684" s="97" t="s">
        <v>2026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182</v>
      </c>
      <c r="AA1684" s="79"/>
    </row>
    <row r="1685" spans="1:27">
      <c r="A1685" s="88" t="s">
        <v>2039</v>
      </c>
      <c r="B1685" s="83" t="str">
        <f t="shared" si="419"/>
        <v>GAN_KOKUCHI_JIKO_3</v>
      </c>
      <c r="C1685" s="87" t="s">
        <v>180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2028</v>
      </c>
      <c r="H1685" s="97" t="s">
        <v>2027</v>
      </c>
      <c r="I1685" s="97" t="s">
        <v>2026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182</v>
      </c>
      <c r="AA1685" s="79"/>
    </row>
    <row r="1686" spans="1:27">
      <c r="A1686" s="88" t="s">
        <v>2038</v>
      </c>
      <c r="B1686" s="83" t="str">
        <f t="shared" si="419"/>
        <v>GAN_KOKUCHI_JIKO_4</v>
      </c>
      <c r="C1686" s="87" t="s">
        <v>180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2037</v>
      </c>
      <c r="H1686" s="97" t="s">
        <v>2036</v>
      </c>
      <c r="I1686" s="97" t="s">
        <v>2035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182</v>
      </c>
      <c r="AA1686" s="79"/>
    </row>
    <row r="1687" spans="1:27">
      <c r="A1687" s="88" t="s">
        <v>2034</v>
      </c>
      <c r="B1687" s="83" t="str">
        <f t="shared" si="419"/>
        <v>GAN_KOKUCHI_JIKO_5</v>
      </c>
      <c r="C1687" s="87" t="s">
        <v>180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2033</v>
      </c>
      <c r="H1687" s="97" t="s">
        <v>2032</v>
      </c>
      <c r="I1687" s="97" t="s">
        <v>2031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1739</v>
      </c>
      <c r="AA1687" s="79"/>
    </row>
    <row r="1688" spans="1:27">
      <c r="A1688" s="88" t="s">
        <v>2030</v>
      </c>
      <c r="B1688" s="83" t="str">
        <f t="shared" si="419"/>
        <v>GAN_KOKUCHI_JIKO_CIGARET</v>
      </c>
      <c r="C1688" s="87" t="s">
        <v>2029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2028</v>
      </c>
      <c r="H1688" s="97" t="s">
        <v>2027</v>
      </c>
      <c r="I1688" s="97" t="s">
        <v>2026</v>
      </c>
      <c r="J1688" s="97" t="s">
        <v>2025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1732</v>
      </c>
      <c r="AA1688" s="79"/>
    </row>
    <row r="1689" spans="1:27">
      <c r="A1689" s="88" t="s">
        <v>2024</v>
      </c>
      <c r="B1689" s="83" t="str">
        <f t="shared" si="419"/>
        <v>EDA_NO</v>
      </c>
      <c r="C1689" s="87" t="s">
        <v>2023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2022</v>
      </c>
      <c r="H1689" s="97" t="s">
        <v>1849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182</v>
      </c>
      <c r="AA1689" s="79"/>
    </row>
    <row r="1690" spans="1:27">
      <c r="A1690" s="88" t="s">
        <v>2021</v>
      </c>
      <c r="B1690" s="83" t="str">
        <f t="shared" si="419"/>
        <v>PLCY_KB</v>
      </c>
      <c r="C1690" s="87" t="s">
        <v>180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1988</v>
      </c>
      <c r="H1690" s="97" t="s">
        <v>177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1732</v>
      </c>
      <c r="AA1690" s="79"/>
    </row>
    <row r="1691" spans="1:27">
      <c r="A1691" s="88" t="s">
        <v>2020</v>
      </c>
      <c r="B1691" s="83" t="str">
        <f t="shared" si="419"/>
        <v>KANYU_NENGETSU</v>
      </c>
      <c r="C1691" s="87" t="s">
        <v>2019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2018</v>
      </c>
      <c r="H1691" s="97" t="s">
        <v>2017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1739</v>
      </c>
      <c r="AA1691" s="79"/>
    </row>
    <row r="1692" spans="1:27">
      <c r="A1692" s="88" t="s">
        <v>2016</v>
      </c>
      <c r="B1692" s="83" t="str">
        <f t="shared" si="419"/>
        <v>NYUKIN_NICHIGAKU</v>
      </c>
      <c r="C1692" s="87" t="s">
        <v>753</v>
      </c>
      <c r="D1692" s="82" t="str">
        <f t="shared" si="416"/>
        <v>Number</v>
      </c>
      <c r="E1692" s="82">
        <f t="shared" si="417"/>
        <v>11</v>
      </c>
      <c r="F1692" s="82" t="str">
        <f t="shared" si="418"/>
        <v/>
      </c>
      <c r="G1692" s="98" t="s">
        <v>1963</v>
      </c>
      <c r="H1692" s="97" t="s">
        <v>2015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182</v>
      </c>
      <c r="AA1692" s="79"/>
    </row>
    <row r="1693" spans="1:27">
      <c r="A1693" s="88" t="s">
        <v>2014</v>
      </c>
      <c r="B1693" s="83" t="str">
        <f t="shared" si="419"/>
        <v>KEIZOKU_PLAN</v>
      </c>
      <c r="C1693" s="87" t="s">
        <v>180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2013</v>
      </c>
      <c r="H1693" s="97" t="s">
        <v>2012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182</v>
      </c>
      <c r="AA1693" s="79"/>
    </row>
    <row r="1694" spans="1:27">
      <c r="A1694" s="88" t="s">
        <v>2011</v>
      </c>
      <c r="B1694" s="83" t="str">
        <f t="shared" si="419"/>
        <v>KARI_SATEI_KB</v>
      </c>
      <c r="C1694" s="87" t="s">
        <v>180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2010</v>
      </c>
      <c r="H1694" s="97" t="s">
        <v>180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182</v>
      </c>
      <c r="AA1694" s="79"/>
    </row>
    <row r="1695" spans="1:27">
      <c r="A1695" s="88" t="s">
        <v>2009</v>
      </c>
      <c r="B1695" s="83" t="str">
        <f t="shared" si="419"/>
        <v>JIZEN_SHOKAI_KB</v>
      </c>
      <c r="C1695" s="87" t="s">
        <v>180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2008</v>
      </c>
      <c r="H1695" s="97" t="s">
        <v>2007</v>
      </c>
      <c r="I1695" s="97" t="s">
        <v>1840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182</v>
      </c>
      <c r="AA1695" s="79"/>
    </row>
    <row r="1696" spans="1:27">
      <c r="A1696" s="88" t="s">
        <v>2006</v>
      </c>
      <c r="B1696" s="83" t="str">
        <f t="shared" si="419"/>
        <v>INTERVIEW_PLACE_KB</v>
      </c>
      <c r="C1696" s="87" t="s">
        <v>180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2005</v>
      </c>
      <c r="H1696" s="97" t="s">
        <v>2004</v>
      </c>
      <c r="I1696" s="97" t="s">
        <v>1733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1732</v>
      </c>
      <c r="AA1696" s="79"/>
    </row>
    <row r="1697" spans="1:27">
      <c r="A1697" s="88" t="s">
        <v>2003</v>
      </c>
      <c r="B1697" s="83" t="str">
        <f t="shared" si="419"/>
        <v>INTERVIEW_PLACE_DET</v>
      </c>
      <c r="C1697" s="87" t="s">
        <v>2002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2001</v>
      </c>
      <c r="H1697" s="97" t="s">
        <v>2000</v>
      </c>
      <c r="I1697" s="97" t="s">
        <v>1954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182</v>
      </c>
      <c r="AA1697" s="79"/>
    </row>
    <row r="1698" spans="1:27">
      <c r="A1698" s="88" t="s">
        <v>1999</v>
      </c>
      <c r="B1698" s="83" t="str">
        <f t="shared" si="419"/>
        <v>SEISEKI_KEIJO_KB</v>
      </c>
      <c r="C1698" s="87" t="s">
        <v>180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1998</v>
      </c>
      <c r="H1698" s="97" t="s">
        <v>180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182</v>
      </c>
      <c r="AA1698" s="79"/>
    </row>
    <row r="1699" spans="1:27">
      <c r="A1699" s="88" t="s">
        <v>1997</v>
      </c>
      <c r="B1699" s="83" t="str">
        <f t="shared" si="419"/>
        <v>CCI_MBR_KB</v>
      </c>
      <c r="C1699" s="87" t="s">
        <v>180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1996</v>
      </c>
      <c r="H1699" s="97" t="s">
        <v>1995</v>
      </c>
      <c r="I1699" s="97" t="s">
        <v>1840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182</v>
      </c>
      <c r="AA1699" s="79"/>
    </row>
    <row r="1700" spans="1:27">
      <c r="A1700" s="88" t="s">
        <v>1994</v>
      </c>
      <c r="B1700" s="83" t="str">
        <f t="shared" si="419"/>
        <v>KAKO_MOKUTEKI_KB</v>
      </c>
      <c r="C1700" s="87" t="s">
        <v>180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1993</v>
      </c>
      <c r="H1700" s="113" t="s">
        <v>1992</v>
      </c>
      <c r="I1700" s="97" t="s">
        <v>1733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182</v>
      </c>
      <c r="AA1700" s="79"/>
    </row>
    <row r="1701" spans="1:27">
      <c r="A1701" s="88" t="s">
        <v>1991</v>
      </c>
      <c r="B1701" s="83" t="str">
        <f t="shared" si="419"/>
        <v>PLCY_FORM_SIGN_KB</v>
      </c>
      <c r="C1701" s="87" t="s">
        <v>180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1983</v>
      </c>
      <c r="H1701" s="127" t="s">
        <v>1982</v>
      </c>
      <c r="I1701" s="97" t="s">
        <v>1990</v>
      </c>
      <c r="J1701" s="97" t="s">
        <v>1840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182</v>
      </c>
      <c r="AA1701" s="79"/>
    </row>
    <row r="1702" spans="1:27">
      <c r="A1702" s="88" t="s">
        <v>1989</v>
      </c>
      <c r="B1702" s="83" t="str">
        <f t="shared" si="419"/>
        <v>PLCY_FORM_KOZA_KB</v>
      </c>
      <c r="C1702" s="87" t="s">
        <v>180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1988</v>
      </c>
      <c r="H1702" s="127" t="s">
        <v>1987</v>
      </c>
      <c r="I1702" s="97" t="s">
        <v>1986</v>
      </c>
      <c r="J1702" s="97" t="s">
        <v>1733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1732</v>
      </c>
      <c r="AA1702" s="79"/>
    </row>
    <row r="1703" spans="1:27">
      <c r="A1703" s="88" t="s">
        <v>1985</v>
      </c>
      <c r="B1703" s="83" t="str">
        <f t="shared" si="419"/>
        <v>PLCY_FORM_C_DET</v>
      </c>
      <c r="C1703" s="87" t="s">
        <v>1984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1983</v>
      </c>
      <c r="H1703" s="127" t="s">
        <v>1982</v>
      </c>
      <c r="I1703" s="97" t="s">
        <v>1981</v>
      </c>
      <c r="J1703" s="97" t="s">
        <v>1827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1739</v>
      </c>
      <c r="AA1703" s="79"/>
    </row>
    <row r="1704" spans="1:27">
      <c r="A1704" s="88" t="s">
        <v>1980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1970</v>
      </c>
      <c r="H1704" s="97" t="s">
        <v>1979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1732</v>
      </c>
      <c r="AA1704" s="79"/>
    </row>
    <row r="1705" spans="1:27">
      <c r="A1705" s="88" t="s">
        <v>1978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1967</v>
      </c>
      <c r="H1705" s="97" t="s">
        <v>1942</v>
      </c>
      <c r="I1705" s="97" t="s">
        <v>375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1739</v>
      </c>
      <c r="AA1705" s="79"/>
    </row>
    <row r="1706" spans="1:27">
      <c r="A1706" s="88" t="s">
        <v>1977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1970</v>
      </c>
      <c r="H1706" s="97" t="s">
        <v>1976</v>
      </c>
      <c r="I1706" s="97" t="s">
        <v>1951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1732</v>
      </c>
      <c r="AA1706" s="79"/>
    </row>
    <row r="1707" spans="1:27">
      <c r="A1707" s="88" t="s">
        <v>1975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1967</v>
      </c>
      <c r="H1707" s="97" t="s">
        <v>1831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1739</v>
      </c>
      <c r="AA1707" s="79"/>
    </row>
    <row r="1708" spans="1:27">
      <c r="A1708" s="88" t="s">
        <v>1974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1970</v>
      </c>
      <c r="H1708" s="97" t="s">
        <v>1973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1732</v>
      </c>
      <c r="AA1708" s="79"/>
    </row>
    <row r="1709" spans="1:27">
      <c r="A1709" s="88" t="s">
        <v>1972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1967</v>
      </c>
      <c r="H1709" s="97" t="s">
        <v>881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1739</v>
      </c>
      <c r="AA1709" s="79"/>
    </row>
    <row r="1710" spans="1:27">
      <c r="A1710" s="88" t="s">
        <v>1971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1970</v>
      </c>
      <c r="H1710" s="97" t="s">
        <v>1969</v>
      </c>
      <c r="I1710" s="97" t="s">
        <v>1828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1732</v>
      </c>
      <c r="AA1710" s="79"/>
    </row>
    <row r="1711" spans="1:27">
      <c r="A1711" s="88" t="s">
        <v>1968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1967</v>
      </c>
      <c r="H1711" s="97" t="s">
        <v>1966</v>
      </c>
      <c r="I1711" s="97" t="s">
        <v>1965</v>
      </c>
      <c r="J1711" s="97" t="s">
        <v>1827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1739</v>
      </c>
      <c r="AA1711" s="79"/>
    </row>
    <row r="1712" spans="1:27">
      <c r="A1712" s="88" t="s">
        <v>1964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1963</v>
      </c>
      <c r="H1712" s="97" t="s">
        <v>850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182</v>
      </c>
      <c r="AA1712" s="79"/>
    </row>
    <row r="1713" spans="1:27">
      <c r="A1713" s="88" t="s">
        <v>1962</v>
      </c>
      <c r="B1713" s="83" t="str">
        <f t="shared" si="419"/>
        <v>TASHA_OFFER_KB</v>
      </c>
      <c r="C1713" s="87" t="s">
        <v>180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1961</v>
      </c>
      <c r="H1713" s="97" t="s">
        <v>199</v>
      </c>
      <c r="I1713" s="97" t="s">
        <v>1840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182</v>
      </c>
      <c r="AA1713" s="79"/>
    </row>
    <row r="1714" spans="1:27">
      <c r="A1714" s="88" t="s">
        <v>1960</v>
      </c>
      <c r="B1714" s="83" t="str">
        <f t="shared" si="419"/>
        <v>HONNIN_KAKUNIN_HOHO</v>
      </c>
      <c r="C1714" s="87" t="s">
        <v>180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1959</v>
      </c>
      <c r="H1714" s="97" t="s">
        <v>1926</v>
      </c>
      <c r="I1714" s="97" t="s">
        <v>1958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1732</v>
      </c>
      <c r="AA1714" s="79"/>
    </row>
    <row r="1715" spans="1:27">
      <c r="A1715" s="88" t="s">
        <v>1957</v>
      </c>
      <c r="B1715" s="83" t="str">
        <f t="shared" si="419"/>
        <v>HONNIN_KAKUNIN_HOHO_DET</v>
      </c>
      <c r="C1715" s="87" t="s">
        <v>1957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1956</v>
      </c>
      <c r="H1715" s="97" t="s">
        <v>1936</v>
      </c>
      <c r="I1715" s="97" t="s">
        <v>1955</v>
      </c>
      <c r="J1715" s="97" t="s">
        <v>1954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1739</v>
      </c>
      <c r="AA1715" s="79"/>
    </row>
    <row r="1716" spans="1:27">
      <c r="A1716" s="88" t="s">
        <v>1953</v>
      </c>
      <c r="B1716" s="83" t="str">
        <f t="shared" si="419"/>
        <v>CORP_JIGYO_C</v>
      </c>
      <c r="C1716" s="87" t="s">
        <v>1835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1928</v>
      </c>
      <c r="H1716" s="97" t="s">
        <v>1952</v>
      </c>
      <c r="I1716" s="97" t="s">
        <v>1951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1732</v>
      </c>
      <c r="AA1716" s="79"/>
    </row>
    <row r="1717" spans="1:27">
      <c r="A1717" s="88" t="s">
        <v>1950</v>
      </c>
      <c r="B1717" s="83" t="str">
        <f t="shared" si="419"/>
        <v>CORP_SHIHONKIN</v>
      </c>
      <c r="C1717" s="87" t="s">
        <v>1949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1931</v>
      </c>
      <c r="H1717" s="97" t="s">
        <v>1948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1739</v>
      </c>
      <c r="AA1717" s="79"/>
    </row>
    <row r="1718" spans="1:27">
      <c r="A1718" s="88" t="s">
        <v>1947</v>
      </c>
      <c r="B1718" s="83" t="str">
        <f t="shared" si="419"/>
        <v>CORP_JUGYOIN_CNT</v>
      </c>
      <c r="C1718" s="87" t="s">
        <v>1946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1928</v>
      </c>
      <c r="H1718" s="97" t="s">
        <v>1945</v>
      </c>
      <c r="I1718" s="97" t="s">
        <v>1944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1746</v>
      </c>
      <c r="AA1718" s="79"/>
    </row>
    <row r="1719" spans="1:27">
      <c r="A1719" s="88" t="s">
        <v>1943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1931</v>
      </c>
      <c r="H1719" s="97" t="s">
        <v>1942</v>
      </c>
      <c r="I1719" s="97" t="s">
        <v>1941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1739</v>
      </c>
      <c r="AA1719" s="79"/>
    </row>
    <row r="1720" spans="1:27">
      <c r="A1720" s="88" t="s">
        <v>1940</v>
      </c>
      <c r="B1720" s="83" t="str">
        <f t="shared" si="419"/>
        <v>CORP_NENSHO</v>
      </c>
      <c r="C1720" s="87" t="s">
        <v>1939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1928</v>
      </c>
      <c r="H1720" s="97" t="s">
        <v>1938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182</v>
      </c>
      <c r="AA1720" s="79"/>
    </row>
    <row r="1721" spans="1:27">
      <c r="A1721" s="88" t="s">
        <v>1937</v>
      </c>
      <c r="B1721" s="83" t="str">
        <f t="shared" si="419"/>
        <v>CORP_CORP_KAKUNIN_DOC_KB</v>
      </c>
      <c r="C1721" s="87" t="s">
        <v>180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1931</v>
      </c>
      <c r="H1721" s="97" t="s">
        <v>1931</v>
      </c>
      <c r="I1721" s="97" t="s">
        <v>1936</v>
      </c>
      <c r="J1721" s="131" t="s">
        <v>878</v>
      </c>
      <c r="K1721" s="130" t="s">
        <v>180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182</v>
      </c>
      <c r="AA1721" s="79"/>
    </row>
    <row r="1722" spans="1:27">
      <c r="A1722" s="88" t="s">
        <v>1935</v>
      </c>
      <c r="B1722" s="83" t="str">
        <f t="shared" si="419"/>
        <v>CORP_HOMUKYOKU_TODOKEDEIN_KB</v>
      </c>
      <c r="C1722" s="87" t="s">
        <v>180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1928</v>
      </c>
      <c r="H1722" s="97" t="s">
        <v>1934</v>
      </c>
      <c r="I1722" s="97" t="s">
        <v>1933</v>
      </c>
      <c r="J1722" s="97" t="s">
        <v>1733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1732</v>
      </c>
      <c r="AA1722" s="79"/>
    </row>
    <row r="1723" spans="1:27">
      <c r="A1723" s="88" t="s">
        <v>1932</v>
      </c>
      <c r="B1723" s="83" t="str">
        <f t="shared" si="419"/>
        <v>CORP_FUHO_KIJUN</v>
      </c>
      <c r="C1723" s="87" t="s">
        <v>1730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1931</v>
      </c>
      <c r="H1723" s="97" t="s">
        <v>1930</v>
      </c>
      <c r="I1723" s="97" t="s">
        <v>188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182</v>
      </c>
      <c r="AA1723" s="79"/>
    </row>
    <row r="1724" spans="1:27">
      <c r="A1724" s="88" t="s">
        <v>1929</v>
      </c>
      <c r="B1724" s="83" t="str">
        <f t="shared" si="419"/>
        <v>CORP_DAIHYOSHA_KAKUNIN_KB</v>
      </c>
      <c r="C1724" s="87" t="s">
        <v>180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1928</v>
      </c>
      <c r="H1724" s="97" t="s">
        <v>1927</v>
      </c>
      <c r="I1724" s="97" t="s">
        <v>1926</v>
      </c>
      <c r="J1724" s="97" t="s">
        <v>1733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1732</v>
      </c>
      <c r="AA1724" s="79"/>
    </row>
    <row r="1725" spans="1:27">
      <c r="A1725" s="88" t="s">
        <v>1925</v>
      </c>
      <c r="B1725" s="83" t="str">
        <f t="shared" si="419"/>
        <v>EIGYOSHO_SHOKEN</v>
      </c>
      <c r="C1725" s="87" t="s">
        <v>1784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1924</v>
      </c>
      <c r="H1725" s="97" t="s">
        <v>1923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1739</v>
      </c>
      <c r="AA1725" s="79"/>
    </row>
    <row r="1726" spans="1:27">
      <c r="A1726" s="88" t="s">
        <v>1922</v>
      </c>
      <c r="B1726" s="83" t="str">
        <f t="shared" si="419"/>
        <v>AGENT_SIGN</v>
      </c>
      <c r="C1726" s="87" t="s">
        <v>1921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1891</v>
      </c>
      <c r="H1726" s="97" t="s">
        <v>1918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1732</v>
      </c>
      <c r="AA1726" s="79"/>
    </row>
    <row r="1727" spans="1:27">
      <c r="A1727" s="88" t="s">
        <v>1920</v>
      </c>
      <c r="B1727" s="83" t="str">
        <f t="shared" si="419"/>
        <v>SHOKANCHO_SIGN</v>
      </c>
      <c r="C1727" s="87" t="s">
        <v>1919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1783</v>
      </c>
      <c r="H1727" s="97" t="s">
        <v>1918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1487</v>
      </c>
      <c r="AA1727" s="79"/>
    </row>
    <row r="1728" spans="1:27">
      <c r="A1728" s="88" t="s">
        <v>1917</v>
      </c>
      <c r="B1728" s="83" t="str">
        <f t="shared" si="419"/>
        <v>HOKOKU_DATE</v>
      </c>
      <c r="C1728" s="87" t="s">
        <v>1483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1916</v>
      </c>
      <c r="H1728" s="97" t="s">
        <v>1483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1732</v>
      </c>
      <c r="AA1728" s="79"/>
    </row>
    <row r="1729" spans="1:27">
      <c r="A1729" s="88" t="s">
        <v>1915</v>
      </c>
      <c r="B1729" s="83" t="str">
        <f t="shared" si="419"/>
        <v>S_NENKIN_KYUFUKIN</v>
      </c>
      <c r="C1729" s="87" t="s">
        <v>753</v>
      </c>
      <c r="D1729" s="82" t="str">
        <f t="shared" si="432"/>
        <v>Number</v>
      </c>
      <c r="E1729" s="82">
        <f t="shared" si="433"/>
        <v>11</v>
      </c>
      <c r="F1729" s="82" t="str">
        <f t="shared" si="434"/>
        <v/>
      </c>
      <c r="G1729" s="98" t="s">
        <v>190</v>
      </c>
      <c r="H1729" s="97" t="s">
        <v>1914</v>
      </c>
      <c r="I1729" s="97" t="s">
        <v>850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1739</v>
      </c>
      <c r="AA1729" s="79"/>
    </row>
    <row r="1730" spans="1:27">
      <c r="A1730" s="88" t="s">
        <v>1913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1728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257</v>
      </c>
      <c r="H1730" s="97" t="s">
        <v>465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182</v>
      </c>
      <c r="AA1730" s="79"/>
    </row>
    <row r="1731" spans="1:27">
      <c r="A1731" s="88" t="s">
        <v>1912</v>
      </c>
      <c r="B1731" s="83" t="str">
        <f t="shared" si="435"/>
        <v>P_KB</v>
      </c>
      <c r="C1731" s="87" t="s">
        <v>180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391</v>
      </c>
      <c r="H1731" s="97" t="s">
        <v>177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182</v>
      </c>
      <c r="AA1731" s="79"/>
    </row>
    <row r="1732" spans="1:27">
      <c r="A1732" s="88" t="s">
        <v>1911</v>
      </c>
      <c r="B1732" s="83" t="str">
        <f t="shared" si="435"/>
        <v>SHINSAGO_NYUKIN_KB</v>
      </c>
      <c r="C1732" s="87" t="s">
        <v>180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1910</v>
      </c>
      <c r="H1732" s="97" t="s">
        <v>1841</v>
      </c>
      <c r="I1732" s="97" t="s">
        <v>1610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182</v>
      </c>
      <c r="AA1732" s="79"/>
    </row>
    <row r="1733" spans="1:27">
      <c r="A1733" s="88" t="s">
        <v>1909</v>
      </c>
      <c r="B1733" s="83" t="str">
        <f t="shared" si="435"/>
        <v>SHO_P_BANK_KB</v>
      </c>
      <c r="C1733" s="87" t="s">
        <v>180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1908</v>
      </c>
      <c r="H1733" s="97" t="s">
        <v>1907</v>
      </c>
      <c r="I1733" s="97" t="s">
        <v>1733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182</v>
      </c>
      <c r="AA1733" s="79"/>
    </row>
    <row r="1734" spans="1:27">
      <c r="A1734" s="88" t="s">
        <v>1906</v>
      </c>
      <c r="B1734" s="83" t="str">
        <f t="shared" si="435"/>
        <v>STAFF_PLCY_KB</v>
      </c>
      <c r="C1734" s="87" t="s">
        <v>180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883</v>
      </c>
      <c r="H1734" s="97" t="s">
        <v>298</v>
      </c>
      <c r="I1734" s="97" t="s">
        <v>1840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182</v>
      </c>
      <c r="AA1734" s="79"/>
    </row>
    <row r="1735" spans="1:27">
      <c r="A1735" s="88" t="s">
        <v>1905</v>
      </c>
      <c r="B1735" s="83" t="str">
        <f t="shared" si="435"/>
        <v>STAFF_PLCY_SUB_KB</v>
      </c>
      <c r="C1735" s="87" t="s">
        <v>180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883</v>
      </c>
      <c r="H1735" s="97" t="s">
        <v>298</v>
      </c>
      <c r="I1735" s="97" t="s">
        <v>882</v>
      </c>
      <c r="J1735" s="97" t="s">
        <v>1733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182</v>
      </c>
      <c r="AA1735" s="79"/>
    </row>
    <row r="1736" spans="1:27">
      <c r="A1736" s="88" t="s">
        <v>1904</v>
      </c>
      <c r="B1736" s="83" t="str">
        <f t="shared" si="435"/>
        <v>HONNIN_PLCY_KB</v>
      </c>
      <c r="C1736" s="87" t="s">
        <v>180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875</v>
      </c>
      <c r="H1736" s="97" t="s">
        <v>298</v>
      </c>
      <c r="I1736" s="97" t="s">
        <v>1840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182</v>
      </c>
      <c r="AA1736" s="79"/>
    </row>
    <row r="1737" spans="1:27">
      <c r="A1737" s="88" t="s">
        <v>1903</v>
      </c>
      <c r="B1737" s="83" t="str">
        <f t="shared" si="435"/>
        <v>HONNIN_PLCY_SUB_KB</v>
      </c>
      <c r="C1737" s="87" t="s">
        <v>180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875</v>
      </c>
      <c r="H1737" s="97" t="s">
        <v>298</v>
      </c>
      <c r="I1737" s="97" t="s">
        <v>882</v>
      </c>
      <c r="J1737" s="97" t="s">
        <v>1733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182</v>
      </c>
      <c r="AA1737" s="79"/>
    </row>
    <row r="1738" spans="1:27">
      <c r="A1738" s="88" t="s">
        <v>1902</v>
      </c>
      <c r="B1738" s="83" t="str">
        <f t="shared" si="435"/>
        <v>NAIKIMBOSHU_KB</v>
      </c>
      <c r="C1738" s="87" t="s">
        <v>180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1901</v>
      </c>
      <c r="H1738" s="97" t="s">
        <v>180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182</v>
      </c>
      <c r="AA1738" s="79"/>
    </row>
    <row r="1739" spans="1:27">
      <c r="A1739" s="88" t="s">
        <v>1900</v>
      </c>
      <c r="B1739" s="83" t="str">
        <f t="shared" si="435"/>
        <v>NAIKIMBOSHU_SUB_KB</v>
      </c>
      <c r="C1739" s="87" t="s">
        <v>180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1899</v>
      </c>
      <c r="H1739" s="97" t="s">
        <v>563</v>
      </c>
      <c r="I1739" s="97" t="s">
        <v>1733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1732</v>
      </c>
      <c r="AA1739" s="79"/>
    </row>
    <row r="1740" spans="1:27">
      <c r="A1740" s="88" t="s">
        <v>1898</v>
      </c>
      <c r="B1740" s="83" t="str">
        <f t="shared" si="435"/>
        <v>AGENT_NO_1</v>
      </c>
      <c r="C1740" s="87" t="s">
        <v>1892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1891</v>
      </c>
      <c r="H1740" s="97" t="s">
        <v>1897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1739</v>
      </c>
      <c r="AA1740" s="79"/>
    </row>
    <row r="1741" spans="1:27">
      <c r="A1741" s="88" t="s">
        <v>1896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1888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1732</v>
      </c>
      <c r="AA1741" s="79"/>
    </row>
    <row r="1742" spans="1:27">
      <c r="A1742" s="88" t="s">
        <v>1894</v>
      </c>
      <c r="B1742" s="83" t="str">
        <f t="shared" si="435"/>
        <v>SEISEKI_KEIJO</v>
      </c>
      <c r="C1742" s="87" t="s">
        <v>1895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1894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1739</v>
      </c>
      <c r="AA1742" s="79"/>
    </row>
    <row r="1743" spans="1:27">
      <c r="A1743" s="88" t="s">
        <v>1893</v>
      </c>
      <c r="B1743" s="83" t="str">
        <f t="shared" si="435"/>
        <v>AGENT_NO_2</v>
      </c>
      <c r="C1743" s="87" t="s">
        <v>1892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1891</v>
      </c>
      <c r="H1743" s="97" t="s">
        <v>1890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1732</v>
      </c>
      <c r="AA1743" s="79"/>
    </row>
    <row r="1744" spans="1:27">
      <c r="A1744" s="88" t="s">
        <v>1889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1888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1739</v>
      </c>
      <c r="AA1744" s="79"/>
    </row>
    <row r="1745" spans="1:27">
      <c r="A1745" s="88" t="s">
        <v>1886</v>
      </c>
      <c r="B1745" s="83" t="str">
        <f t="shared" si="435"/>
        <v>KEIJOSHOKANTEN</v>
      </c>
      <c r="C1745" s="87" t="s">
        <v>1887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1886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182</v>
      </c>
      <c r="AA1745" s="79"/>
    </row>
    <row r="1746" spans="1:27">
      <c r="A1746" s="88" t="s">
        <v>1885</v>
      </c>
      <c r="B1746" s="83" t="str">
        <f t="shared" si="435"/>
        <v>KEIJO_CHNL_KB</v>
      </c>
      <c r="C1746" s="87" t="s">
        <v>180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703</v>
      </c>
      <c r="H1746" s="97" t="s">
        <v>702</v>
      </c>
      <c r="I1746" s="97" t="s">
        <v>1840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1739</v>
      </c>
      <c r="AA1746" s="79"/>
    </row>
    <row r="1747" spans="1:27">
      <c r="A1747" s="88" t="s">
        <v>1884</v>
      </c>
      <c r="B1747" s="83" t="str">
        <f t="shared" si="435"/>
        <v>SHOKAI_AGENCY</v>
      </c>
      <c r="C1747" s="87" t="s">
        <v>1883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253</v>
      </c>
      <c r="H1747" s="97" t="s">
        <v>1174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1732</v>
      </c>
      <c r="AA1747" s="79"/>
    </row>
    <row r="1748" spans="1:27">
      <c r="A1748" s="88" t="s">
        <v>1881</v>
      </c>
      <c r="B1748" s="83" t="str">
        <f t="shared" si="435"/>
        <v>SANJOKAI</v>
      </c>
      <c r="C1748" s="87" t="s">
        <v>1882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1881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182</v>
      </c>
      <c r="AA1748" s="79"/>
    </row>
    <row r="1749" spans="1:27">
      <c r="A1749" s="88" t="s">
        <v>1880</v>
      </c>
      <c r="B1749" s="83" t="str">
        <f t="shared" si="435"/>
        <v>HARAIKOMI_KEIRO_KB</v>
      </c>
      <c r="C1749" s="87" t="s">
        <v>180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349</v>
      </c>
      <c r="H1749" s="97" t="s">
        <v>198</v>
      </c>
      <c r="I1749" s="97" t="s">
        <v>1733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182</v>
      </c>
      <c r="AA1749" s="79"/>
    </row>
    <row r="1750" spans="1:27">
      <c r="A1750" s="88" t="s">
        <v>1879</v>
      </c>
      <c r="B1750" s="83" t="str">
        <f t="shared" si="435"/>
        <v>HAITOKINUKETORIHOHO_KB</v>
      </c>
      <c r="C1750" s="87" t="s">
        <v>180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1878</v>
      </c>
      <c r="H1750" s="97" t="s">
        <v>180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1739</v>
      </c>
      <c r="AA1750" s="79"/>
    </row>
    <row r="1751" spans="1:27">
      <c r="A1751" s="88" t="s">
        <v>1877</v>
      </c>
      <c r="B1751" s="83" t="str">
        <f t="shared" si="435"/>
        <v>NYUKIN_NO</v>
      </c>
      <c r="C1751" s="87" t="s">
        <v>1876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1841</v>
      </c>
      <c r="H1751" s="97" t="s">
        <v>1849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1732</v>
      </c>
      <c r="AA1751" s="79"/>
    </row>
    <row r="1752" spans="1:27">
      <c r="A1752" s="88" t="s">
        <v>1875</v>
      </c>
      <c r="B1752" s="83" t="str">
        <f t="shared" si="435"/>
        <v>KANYUSHA_NO</v>
      </c>
      <c r="C1752" s="87" t="s">
        <v>1874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1873</v>
      </c>
      <c r="H1752" s="97" t="s">
        <v>1849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1739</v>
      </c>
      <c r="AA1752" s="79"/>
    </row>
    <row r="1753" spans="1:27">
      <c r="A1753" s="88" t="s">
        <v>1872</v>
      </c>
      <c r="B1753" s="83" t="str">
        <f t="shared" si="435"/>
        <v>OKYAKUSAMA_NO</v>
      </c>
      <c r="C1753" s="87" t="s">
        <v>1871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1870</v>
      </c>
      <c r="H1753" s="97" t="s">
        <v>1849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1732</v>
      </c>
      <c r="AA1753" s="79"/>
    </row>
    <row r="1754" spans="1:27">
      <c r="A1754" s="88" t="s">
        <v>1869</v>
      </c>
      <c r="B1754" s="83" t="str">
        <f t="shared" si="435"/>
        <v>JIGYOSHO_SHOZOKU_1</v>
      </c>
      <c r="C1754" s="90" t="s">
        <v>1865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1864</v>
      </c>
      <c r="H1754" s="97" t="s">
        <v>185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1739</v>
      </c>
      <c r="AA1754" s="79"/>
    </row>
    <row r="1755" spans="1:27">
      <c r="A1755" s="88" t="s">
        <v>1868</v>
      </c>
      <c r="B1755" s="83" t="str">
        <f t="shared" si="435"/>
        <v>JIGYOSHO_SHOZOKU_2</v>
      </c>
      <c r="C1755" s="90" t="s">
        <v>1867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1864</v>
      </c>
      <c r="H1755" s="97" t="s">
        <v>185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1732</v>
      </c>
      <c r="AA1755" s="79"/>
    </row>
    <row r="1756" spans="1:27">
      <c r="A1756" s="88" t="s">
        <v>1866</v>
      </c>
      <c r="B1756" s="83" t="str">
        <f t="shared" si="435"/>
        <v>JIGYOSHO_SHOZOKU_3</v>
      </c>
      <c r="C1756" s="90" t="s">
        <v>1865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1864</v>
      </c>
      <c r="H1756" s="97" t="s">
        <v>1863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1739</v>
      </c>
      <c r="AA1756" s="79"/>
    </row>
    <row r="1757" spans="1:27">
      <c r="A1757" s="88" t="s">
        <v>1862</v>
      </c>
      <c r="B1757" s="83" t="str">
        <f t="shared" si="435"/>
        <v>SHUKINTEN_CD</v>
      </c>
      <c r="C1757" s="87" t="s">
        <v>1862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1861</v>
      </c>
      <c r="H1757" s="97" t="s">
        <v>183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1732</v>
      </c>
      <c r="AA1757" s="79"/>
    </row>
    <row r="1758" spans="1:27">
      <c r="A1758" s="88" t="s">
        <v>1860</v>
      </c>
      <c r="B1758" s="83" t="str">
        <f t="shared" si="435"/>
        <v>ADV_CV_SHOKEN_NO_1</v>
      </c>
      <c r="C1758" s="87" t="s">
        <v>1851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1855</v>
      </c>
      <c r="H1758" s="97" t="s">
        <v>1850</v>
      </c>
      <c r="I1758" s="97" t="s">
        <v>1849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1739</v>
      </c>
      <c r="AA1758" s="79"/>
    </row>
    <row r="1759" spans="1:27">
      <c r="A1759" s="88" t="s">
        <v>1859</v>
      </c>
      <c r="B1759" s="83" t="str">
        <f t="shared" si="435"/>
        <v>ADV_CV_SHOKEN_NO_2</v>
      </c>
      <c r="C1759" s="87" t="s">
        <v>1856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1855</v>
      </c>
      <c r="H1759" s="97" t="s">
        <v>1850</v>
      </c>
      <c r="I1759" s="97" t="s">
        <v>1849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1739</v>
      </c>
      <c r="AA1759" s="79"/>
    </row>
    <row r="1760" spans="1:27">
      <c r="A1760" s="88" t="s">
        <v>1858</v>
      </c>
      <c r="B1760" s="83" t="str">
        <f t="shared" si="435"/>
        <v>ADV_CV_SHOKEN_NO_3</v>
      </c>
      <c r="C1760" s="87" t="s">
        <v>1856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1855</v>
      </c>
      <c r="H1760" s="97" t="s">
        <v>1850</v>
      </c>
      <c r="I1760" s="97" t="s">
        <v>1849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1732</v>
      </c>
      <c r="AA1760" s="79"/>
    </row>
    <row r="1761" spans="1:27">
      <c r="A1761" s="88" t="s">
        <v>1857</v>
      </c>
      <c r="B1761" s="83" t="str">
        <f t="shared" si="435"/>
        <v>ADV_CV_SHOKEN_NO_4</v>
      </c>
      <c r="C1761" s="87" t="s">
        <v>1856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1855</v>
      </c>
      <c r="H1761" s="97" t="s">
        <v>1850</v>
      </c>
      <c r="I1761" s="97" t="s">
        <v>1849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1739</v>
      </c>
      <c r="AA1761" s="79"/>
    </row>
    <row r="1762" spans="1:27">
      <c r="A1762" s="88" t="s">
        <v>1854</v>
      </c>
      <c r="B1762" s="83" t="str">
        <f t="shared" si="435"/>
        <v>KI_PLCY_KOZA_SHOKEN</v>
      </c>
      <c r="C1762" s="87" t="s">
        <v>1853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257</v>
      </c>
      <c r="H1762" s="97" t="s">
        <v>1118</v>
      </c>
      <c r="I1762" s="97" t="s">
        <v>1850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1732</v>
      </c>
      <c r="AA1762" s="79"/>
    </row>
    <row r="1763" spans="1:27">
      <c r="A1763" s="88" t="s">
        <v>1852</v>
      </c>
      <c r="B1763" s="83" t="str">
        <f t="shared" si="435"/>
        <v>KI_PLCY_SHOKEN_NO</v>
      </c>
      <c r="C1763" s="87" t="s">
        <v>1851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257</v>
      </c>
      <c r="H1763" s="97" t="s">
        <v>1850</v>
      </c>
      <c r="I1763" s="97" t="s">
        <v>1849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1739</v>
      </c>
      <c r="AA1763" s="79"/>
    </row>
    <row r="1764" spans="1:27">
      <c r="A1764" s="88" t="s">
        <v>1848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857</v>
      </c>
      <c r="H1764" s="97" t="s">
        <v>1847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182</v>
      </c>
      <c r="AA1764" s="79"/>
    </row>
    <row r="1765" spans="1:27">
      <c r="A1765" s="88" t="s">
        <v>1846</v>
      </c>
      <c r="B1765" s="83" t="str">
        <f t="shared" si="435"/>
        <v>ADDR_CD</v>
      </c>
      <c r="C1765" s="87" t="s">
        <v>1845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1844</v>
      </c>
      <c r="H1765" s="97" t="s">
        <v>183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182</v>
      </c>
      <c r="AA1765" s="79"/>
    </row>
    <row r="1766" spans="1:27">
      <c r="A1766" s="88" t="s">
        <v>1843</v>
      </c>
      <c r="B1766" s="83" t="str">
        <f t="shared" si="435"/>
        <v>SHO_P_NYUKIN_FORM_KB</v>
      </c>
      <c r="C1766" s="87" t="s">
        <v>180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1842</v>
      </c>
      <c r="H1766" s="97" t="s">
        <v>1841</v>
      </c>
      <c r="I1766" s="97" t="s">
        <v>1825</v>
      </c>
      <c r="J1766" s="97" t="s">
        <v>1840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1732</v>
      </c>
      <c r="AA1766" s="79"/>
    </row>
    <row r="1767" spans="1:27">
      <c r="A1767" s="88" t="s">
        <v>1839</v>
      </c>
      <c r="B1767" s="83" t="str">
        <f t="shared" si="435"/>
        <v>SYSTEM_ID</v>
      </c>
      <c r="C1767" s="87" t="s">
        <v>1839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1838</v>
      </c>
      <c r="H1767" s="97" t="s">
        <v>746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1732</v>
      </c>
      <c r="AA1767" s="79"/>
    </row>
    <row r="1768" spans="1:27">
      <c r="A1768" s="88" t="s">
        <v>1837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1837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1732</v>
      </c>
      <c r="AA1768" s="79"/>
    </row>
    <row r="1769" spans="1:27">
      <c r="A1769" s="88" t="s">
        <v>1836</v>
      </c>
      <c r="B1769" s="83" t="str">
        <f t="shared" si="435"/>
        <v>JIGYO_C</v>
      </c>
      <c r="C1769" s="87" t="s">
        <v>1835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451</v>
      </c>
      <c r="H1769" s="97" t="s">
        <v>375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1739</v>
      </c>
      <c r="AA1769" s="79"/>
    </row>
    <row r="1770" spans="1:27">
      <c r="A1770" s="88" t="s">
        <v>1834</v>
      </c>
      <c r="B1770" s="83" t="str">
        <f t="shared" si="435"/>
        <v>SHOKUMU_C</v>
      </c>
      <c r="C1770" s="87" t="s">
        <v>1833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881</v>
      </c>
      <c r="H1770" s="97" t="s">
        <v>375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1732</v>
      </c>
      <c r="AA1770" s="79"/>
    </row>
    <row r="1771" spans="1:27">
      <c r="A1771" s="88" t="s">
        <v>1831</v>
      </c>
      <c r="B1771" s="83" t="str">
        <f t="shared" si="435"/>
        <v>KINZOKUNENSU</v>
      </c>
      <c r="C1771" s="87" t="s">
        <v>1832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1831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1739</v>
      </c>
      <c r="AA1771" s="79"/>
    </row>
    <row r="1772" spans="1:27">
      <c r="A1772" s="88" t="s">
        <v>1830</v>
      </c>
      <c r="B1772" s="83" t="str">
        <f t="shared" si="435"/>
        <v>KENKO_JOTAI_DET</v>
      </c>
      <c r="C1772" s="87" t="s">
        <v>1830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1829</v>
      </c>
      <c r="H1772" s="97" t="s">
        <v>1828</v>
      </c>
      <c r="I1772" s="97" t="s">
        <v>1827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182</v>
      </c>
      <c r="AA1772" s="79"/>
    </row>
    <row r="1773" spans="1:27">
      <c r="A1773" s="88" t="s">
        <v>1826</v>
      </c>
      <c r="B1773" s="83" t="str">
        <f t="shared" si="435"/>
        <v>PLCY_FORM_KB</v>
      </c>
      <c r="C1773" s="87" t="s">
        <v>180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298</v>
      </c>
      <c r="H1773" s="97" t="s">
        <v>1825</v>
      </c>
      <c r="I1773" s="97" t="s">
        <v>177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1739</v>
      </c>
      <c r="AA1773" s="79"/>
    </row>
    <row r="1774" spans="1:27">
      <c r="A1774" s="88" t="s">
        <v>1824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1823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1732</v>
      </c>
      <c r="AA1774" s="79"/>
    </row>
    <row r="1775" spans="1:27">
      <c r="A1775" s="88" t="s">
        <v>1822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1821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1739</v>
      </c>
      <c r="AA1775" s="79"/>
    </row>
    <row r="1776" spans="1:27">
      <c r="A1776" s="88" t="s">
        <v>1820</v>
      </c>
      <c r="B1776" s="83" t="str">
        <f t="shared" si="435"/>
        <v>JIGYO_HOKEN_RIDER_FLG</v>
      </c>
      <c r="C1776" s="87" t="s">
        <v>1728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451</v>
      </c>
      <c r="H1776" s="97" t="s">
        <v>360</v>
      </c>
      <c r="I1776" s="97" t="s">
        <v>764</v>
      </c>
      <c r="J1776" s="97" t="s">
        <v>465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1732</v>
      </c>
      <c r="AA1776" s="79"/>
    </row>
    <row r="1777" spans="1:27">
      <c r="A1777" s="88" t="s">
        <v>1819</v>
      </c>
      <c r="B1777" s="83" t="str">
        <f t="shared" si="435"/>
        <v>LIVING_NEEDS_RIDER_FLG</v>
      </c>
      <c r="C1777" s="87" t="s">
        <v>1728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1818</v>
      </c>
      <c r="H1777" s="97" t="s">
        <v>1817</v>
      </c>
      <c r="I1777" s="97" t="s">
        <v>764</v>
      </c>
      <c r="J1777" s="97" t="s">
        <v>465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1732</v>
      </c>
      <c r="AA1777" s="79"/>
    </row>
    <row r="1778" spans="1:27">
      <c r="A1778" s="88" t="s">
        <v>1816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360</v>
      </c>
      <c r="H1778" s="97" t="s">
        <v>1815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1739</v>
      </c>
      <c r="AA1778" s="79"/>
    </row>
    <row r="1779" spans="1:27">
      <c r="A1779" s="88" t="s">
        <v>864</v>
      </c>
      <c r="B1779" s="83" t="str">
        <f t="shared" si="435"/>
        <v>KIKAN</v>
      </c>
      <c r="C1779" s="87" t="s">
        <v>1814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864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182</v>
      </c>
      <c r="AA1779" s="79"/>
    </row>
    <row r="1780" spans="1:27">
      <c r="A1780" s="88" t="s">
        <v>1813</v>
      </c>
      <c r="B1780" s="83" t="str">
        <f t="shared" si="435"/>
        <v>NENSAI_CD</v>
      </c>
      <c r="C1780" s="87" t="s">
        <v>180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867</v>
      </c>
      <c r="H1780" s="97" t="s">
        <v>183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1739</v>
      </c>
      <c r="AA1780" s="79"/>
    </row>
    <row r="1781" spans="1:27">
      <c r="A1781" s="88" t="s">
        <v>1812</v>
      </c>
      <c r="B1781" s="83" t="str">
        <f t="shared" si="435"/>
        <v>SCR_DISP_NAME</v>
      </c>
      <c r="C1781" s="87" t="s">
        <v>608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1811</v>
      </c>
      <c r="H1781" s="97" t="s">
        <v>843</v>
      </c>
      <c r="I1781" s="97" t="s">
        <v>728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1732</v>
      </c>
      <c r="AA1781" s="79"/>
    </row>
    <row r="1782" spans="1:27">
      <c r="A1782" s="88" t="s">
        <v>1810</v>
      </c>
      <c r="B1782" s="83" t="str">
        <f t="shared" si="435"/>
        <v>DISP_ORDER</v>
      </c>
      <c r="C1782" s="87" t="s">
        <v>1809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843</v>
      </c>
      <c r="H1782" s="97" t="s">
        <v>723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182</v>
      </c>
      <c r="AA1782" s="79"/>
    </row>
    <row r="1783" spans="1:27">
      <c r="A1783" s="88" t="s">
        <v>1808</v>
      </c>
      <c r="B1783" s="83" t="str">
        <f t="shared" si="435"/>
        <v>ZEIKOKA_SETSUMEI_CD</v>
      </c>
      <c r="C1783" s="87" t="s">
        <v>180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874</v>
      </c>
      <c r="H1783" s="97" t="s">
        <v>6</v>
      </c>
      <c r="I1783" s="97" t="s">
        <v>183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1732</v>
      </c>
      <c r="AA1783" s="79"/>
    </row>
    <row r="1784" spans="1:27">
      <c r="A1784" s="88" t="s">
        <v>1807</v>
      </c>
      <c r="B1784" s="83" t="str">
        <f t="shared" si="435"/>
        <v>RIDER_HOKEN_KIKAN</v>
      </c>
      <c r="C1784" s="87" t="s">
        <v>1806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764</v>
      </c>
      <c r="H1784" s="97" t="s">
        <v>360</v>
      </c>
      <c r="I1784" s="97" t="s">
        <v>864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182</v>
      </c>
      <c r="AA1784" s="79"/>
    </row>
    <row r="1785" spans="1:27">
      <c r="A1785" s="88" t="s">
        <v>1805</v>
      </c>
      <c r="B1785" s="83" t="str">
        <f t="shared" si="435"/>
        <v>RIDER_HOKEN_NENSAI_CD</v>
      </c>
      <c r="C1785" s="87" t="s">
        <v>180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764</v>
      </c>
      <c r="H1785" s="97" t="s">
        <v>360</v>
      </c>
      <c r="I1785" s="97" t="s">
        <v>1434</v>
      </c>
      <c r="J1785" s="97" t="s">
        <v>1737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182</v>
      </c>
      <c r="AA1785" s="79"/>
    </row>
    <row r="1786" spans="1:27">
      <c r="A1786" s="88" t="s">
        <v>1804</v>
      </c>
      <c r="B1786" s="83" t="str">
        <f t="shared" si="435"/>
        <v>RIDER_HOKEN_KIKAN_SB</v>
      </c>
      <c r="C1786" s="87" t="s">
        <v>180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764</v>
      </c>
      <c r="H1786" s="97" t="s">
        <v>360</v>
      </c>
      <c r="I1786" s="97" t="s">
        <v>864</v>
      </c>
      <c r="J1786" s="97" t="s">
        <v>842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1739</v>
      </c>
      <c r="AA1786" s="79"/>
    </row>
    <row r="1787" spans="1:27">
      <c r="A1787" s="88" t="s">
        <v>1803</v>
      </c>
      <c r="B1787" s="83" t="str">
        <f t="shared" si="435"/>
        <v>RIDER_HOSHO_CD</v>
      </c>
      <c r="C1787" s="87" t="s">
        <v>1441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764</v>
      </c>
      <c r="H1787" s="97" t="s">
        <v>815</v>
      </c>
      <c r="I1787" s="97" t="s">
        <v>183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1732</v>
      </c>
      <c r="AA1787" s="79"/>
    </row>
    <row r="1788" spans="1:27">
      <c r="A1788" s="88" t="s">
        <v>1802</v>
      </c>
      <c r="B1788" s="83" t="str">
        <f t="shared" si="435"/>
        <v>RIDER_KATA_CD</v>
      </c>
      <c r="C1788" s="87" t="s">
        <v>1574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764</v>
      </c>
      <c r="H1788" s="97" t="s">
        <v>96</v>
      </c>
      <c r="I1788" s="97" t="s">
        <v>183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182</v>
      </c>
      <c r="AA1788" s="79"/>
    </row>
    <row r="1789" spans="1:27">
      <c r="A1789" s="88" t="s">
        <v>1801</v>
      </c>
      <c r="B1789" s="83" t="str">
        <f t="shared" si="435"/>
        <v>HOKEN_KIKAN_SB</v>
      </c>
      <c r="C1789" s="87" t="s">
        <v>180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360</v>
      </c>
      <c r="H1789" s="97" t="s">
        <v>864</v>
      </c>
      <c r="I1789" s="97" t="s">
        <v>842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1732</v>
      </c>
      <c r="AA1789" s="79"/>
    </row>
    <row r="1790" spans="1:27">
      <c r="A1790" s="88" t="s">
        <v>1800</v>
      </c>
      <c r="B1790" s="83" t="str">
        <f t="shared" si="435"/>
        <v>B_PLCY_KATA_CD</v>
      </c>
      <c r="C1790" s="87" t="s">
        <v>1574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1577</v>
      </c>
      <c r="H1790" s="97" t="s">
        <v>1799</v>
      </c>
      <c r="I1790" s="97" t="s">
        <v>1777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182</v>
      </c>
      <c r="AA1790" s="79"/>
    </row>
    <row r="1791" spans="1:27">
      <c r="A1791" s="88" t="s">
        <v>1798</v>
      </c>
      <c r="B1791" s="83" t="str">
        <f t="shared" si="435"/>
        <v>B_PLCY_SP_KB</v>
      </c>
      <c r="C1791" s="87" t="s">
        <v>180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1577</v>
      </c>
      <c r="H1791" s="97" t="s">
        <v>1720</v>
      </c>
      <c r="I1791" s="97" t="s">
        <v>1733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182</v>
      </c>
      <c r="AA1791" s="79"/>
    </row>
    <row r="1792" spans="1:27">
      <c r="A1792" s="88" t="s">
        <v>1797</v>
      </c>
      <c r="B1792" s="83" t="str">
        <f t="shared" si="435"/>
        <v>HARAIKOMIKIKAN_SB</v>
      </c>
      <c r="C1792" s="87" t="s">
        <v>180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1796</v>
      </c>
      <c r="H1792" s="97" t="s">
        <v>1726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182</v>
      </c>
      <c r="AA1792" s="79"/>
    </row>
    <row r="1793" spans="1:27">
      <c r="A1793" s="88" t="s">
        <v>1795</v>
      </c>
      <c r="B1793" s="83" t="str">
        <f t="shared" si="435"/>
        <v>KINGAKU_TANI_KB</v>
      </c>
      <c r="C1793" s="87" t="s">
        <v>180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753</v>
      </c>
      <c r="H1793" s="97" t="s">
        <v>1700</v>
      </c>
      <c r="I1793" s="97" t="s">
        <v>1733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1732</v>
      </c>
      <c r="AA1793" s="79"/>
    </row>
    <row r="1794" spans="1:27">
      <c r="A1794" s="88" t="s">
        <v>1794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753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1487</v>
      </c>
      <c r="AA1794" s="79"/>
    </row>
    <row r="1795" spans="1:27">
      <c r="A1795" s="88" t="s">
        <v>1793</v>
      </c>
      <c r="B1795" s="83" t="str">
        <f t="shared" si="451"/>
        <v>SALES_DATE</v>
      </c>
      <c r="C1795" s="87" t="s">
        <v>1483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1792</v>
      </c>
      <c r="H1795" s="97" t="s">
        <v>1483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1101</v>
      </c>
      <c r="AA1795" s="79"/>
    </row>
    <row r="1796" spans="1:27">
      <c r="A1796" s="88" t="s">
        <v>1791</v>
      </c>
      <c r="B1796" s="83" t="str">
        <f t="shared" si="451"/>
        <v>DAIHYO_GROUP_NAME</v>
      </c>
      <c r="C1796" s="87" t="s">
        <v>608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1790</v>
      </c>
      <c r="H1796" s="97" t="s">
        <v>1789</v>
      </c>
      <c r="I1796" s="97" t="s">
        <v>1403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1788</v>
      </c>
      <c r="AA1796" s="79"/>
    </row>
    <row r="1797" spans="1:27">
      <c r="A1797" s="88" t="s">
        <v>1787</v>
      </c>
      <c r="B1797" s="83" t="str">
        <f t="shared" si="451"/>
        <v>ADD_HOKOKU_JIKO</v>
      </c>
      <c r="C1797" s="87" t="s">
        <v>1786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1460</v>
      </c>
      <c r="H1797" s="97" t="s">
        <v>1511</v>
      </c>
      <c r="I1797" s="97" t="s">
        <v>537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1732</v>
      </c>
      <c r="AA1797" s="79"/>
    </row>
    <row r="1798" spans="1:27">
      <c r="A1798" s="88" t="s">
        <v>1785</v>
      </c>
      <c r="B1798" s="83" t="str">
        <f t="shared" si="451"/>
        <v>SHOKANCHO_SHOKEN</v>
      </c>
      <c r="C1798" s="87" t="s">
        <v>1784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1783</v>
      </c>
      <c r="H1798" s="97" t="s">
        <v>1782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1487</v>
      </c>
      <c r="AA1798" s="79"/>
    </row>
    <row r="1799" spans="1:27">
      <c r="A1799" s="88" t="s">
        <v>1781</v>
      </c>
      <c r="B1799" s="83" t="str">
        <f t="shared" si="451"/>
        <v>SHOKANCHO_KAKUNIN_DATE</v>
      </c>
      <c r="C1799" s="87" t="s">
        <v>1483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1780</v>
      </c>
      <c r="H1799" s="97" t="s">
        <v>554</v>
      </c>
      <c r="I1799" s="97" t="s">
        <v>1483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1732</v>
      </c>
      <c r="AA1799" s="79"/>
    </row>
    <row r="1800" spans="1:27">
      <c r="A1800" s="88" t="s">
        <v>1779</v>
      </c>
      <c r="B1800" s="83" t="str">
        <f t="shared" si="451"/>
        <v>HNY_CD</v>
      </c>
      <c r="C1800" s="87" t="s">
        <v>1779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1778</v>
      </c>
      <c r="H1800" s="97" t="s">
        <v>1777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1739</v>
      </c>
      <c r="AA1800" s="79"/>
    </row>
    <row r="1801" spans="1:27">
      <c r="A1801" s="88" t="s">
        <v>1776</v>
      </c>
      <c r="B1801" s="83" t="str">
        <f t="shared" si="451"/>
        <v>HNY_SB</v>
      </c>
      <c r="C1801" s="87" t="s">
        <v>1594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1775</v>
      </c>
      <c r="H1801" s="97" t="s">
        <v>1726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1732</v>
      </c>
      <c r="AA1801" s="79"/>
    </row>
    <row r="1802" spans="1:27">
      <c r="A1802" s="88" t="s">
        <v>1774</v>
      </c>
      <c r="B1802" s="83" t="str">
        <f t="shared" si="451"/>
        <v>SCR_DISP_RNAME</v>
      </c>
      <c r="C1802" s="87" t="s">
        <v>1559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1773</v>
      </c>
      <c r="H1802" s="97" t="s">
        <v>1772</v>
      </c>
      <c r="I1802" s="97" t="s">
        <v>1559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1101</v>
      </c>
      <c r="AA1802" s="79"/>
    </row>
    <row r="1803" spans="1:27">
      <c r="A1803" s="88" t="s">
        <v>1771</v>
      </c>
      <c r="B1803" s="83" t="str">
        <f t="shared" si="451"/>
        <v>RPT_OUTPUT_NAME</v>
      </c>
      <c r="C1803" s="87" t="s">
        <v>608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1770</v>
      </c>
      <c r="H1803" s="97" t="s">
        <v>1525</v>
      </c>
      <c r="I1803" s="97" t="s">
        <v>1403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1732</v>
      </c>
      <c r="AA1803" s="79"/>
    </row>
    <row r="1804" spans="1:27">
      <c r="A1804" s="88" t="s">
        <v>1769</v>
      </c>
      <c r="B1804" s="83" t="str">
        <f t="shared" si="451"/>
        <v>RPT_OUTPUT_RNAME</v>
      </c>
      <c r="C1804" s="87" t="s">
        <v>1559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1768</v>
      </c>
      <c r="H1804" s="97" t="s">
        <v>1525</v>
      </c>
      <c r="I1804" s="97" t="s">
        <v>1559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1767</v>
      </c>
      <c r="AA1804" s="79"/>
    </row>
    <row r="1805" spans="1:27">
      <c r="A1805" s="88" t="s">
        <v>1766</v>
      </c>
      <c r="B1805" s="83" t="str">
        <f t="shared" si="451"/>
        <v>HNY_VALUE</v>
      </c>
      <c r="C1805" s="87" t="s">
        <v>1766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1765</v>
      </c>
      <c r="H1805" s="97" t="s">
        <v>1764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1732</v>
      </c>
      <c r="AA1805" s="79"/>
    </row>
    <row r="1806" spans="1:27">
      <c r="A1806" s="88" t="s">
        <v>1763</v>
      </c>
      <c r="B1806" s="83" t="str">
        <f t="shared" si="451"/>
        <v>HITSUYO_HOSHOGAKU_SANSHUTSU</v>
      </c>
      <c r="C1806" s="87" t="s">
        <v>1762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1759</v>
      </c>
      <c r="H1806" s="97" t="s">
        <v>1758</v>
      </c>
      <c r="I1806" s="97" t="s">
        <v>1761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1739</v>
      </c>
      <c r="AA1806" s="79"/>
    </row>
    <row r="1807" spans="1:27">
      <c r="A1807" s="88" t="s">
        <v>1760</v>
      </c>
      <c r="B1807" s="83" t="str">
        <f t="shared" si="451"/>
        <v>HITSUYO_HOSHOGAKU</v>
      </c>
      <c r="C1807" s="87" t="s">
        <v>753</v>
      </c>
      <c r="D1807" s="82" t="str">
        <f t="shared" si="448"/>
        <v>Number</v>
      </c>
      <c r="E1807" s="82">
        <f t="shared" si="449"/>
        <v>11</v>
      </c>
      <c r="F1807" s="82" t="str">
        <f t="shared" si="450"/>
        <v/>
      </c>
      <c r="G1807" s="98" t="s">
        <v>1759</v>
      </c>
      <c r="H1807" s="97" t="s">
        <v>1758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1732</v>
      </c>
      <c r="AA1807" s="79"/>
    </row>
    <row r="1808" spans="1:27">
      <c r="A1808" s="88" t="s">
        <v>1757</v>
      </c>
      <c r="B1808" s="83" t="str">
        <f t="shared" si="451"/>
        <v>KEIZOKU</v>
      </c>
      <c r="C1808" s="87" t="s">
        <v>1756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1755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1739</v>
      </c>
      <c r="AA1808" s="79"/>
    </row>
    <row r="1809" spans="1:27">
      <c r="A1809" s="88" t="s">
        <v>1754</v>
      </c>
      <c r="B1809" s="83" t="str">
        <f t="shared" si="451"/>
        <v>AGENT_ACQ</v>
      </c>
      <c r="C1809" s="87" t="s">
        <v>1753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1752</v>
      </c>
      <c r="H1809" s="97" t="s">
        <v>1751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365</v>
      </c>
      <c r="AA1809" s="79"/>
    </row>
    <row r="1810" spans="1:27">
      <c r="A1810" s="88" t="s">
        <v>1750</v>
      </c>
      <c r="B1810" s="83" t="str">
        <f t="shared" si="451"/>
        <v>PLCYHLDR_SHISAN_DEBT</v>
      </c>
      <c r="C1810" s="87" t="s">
        <v>1748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635</v>
      </c>
      <c r="H1810" s="97" t="s">
        <v>491</v>
      </c>
      <c r="I1810" s="97" t="s">
        <v>1747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365</v>
      </c>
      <c r="AA1810" s="79"/>
    </row>
    <row r="1811" spans="1:27">
      <c r="A1811" s="88" t="s">
        <v>1749</v>
      </c>
      <c r="B1811" s="83" t="str">
        <f t="shared" si="451"/>
        <v>INSURED_SHISAN_DEBT</v>
      </c>
      <c r="C1811" s="87" t="s">
        <v>1748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1490</v>
      </c>
      <c r="H1811" s="97" t="s">
        <v>491</v>
      </c>
      <c r="I1811" s="97" t="s">
        <v>1747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1746</v>
      </c>
      <c r="AA1811" s="79"/>
    </row>
    <row r="1812" spans="1:27">
      <c r="A1812" s="88" t="s">
        <v>1745</v>
      </c>
      <c r="B1812" s="83" t="str">
        <f t="shared" si="451"/>
        <v>NOTES</v>
      </c>
      <c r="C1812" s="87" t="s">
        <v>1744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365</v>
      </c>
      <c r="AA1812" s="79"/>
    </row>
    <row r="1813" spans="1:27">
      <c r="A1813" s="88" t="s">
        <v>1743</v>
      </c>
      <c r="B1813" s="83" t="str">
        <f t="shared" si="451"/>
        <v>INTERVIEWER_NAME</v>
      </c>
      <c r="C1813" s="87" t="s">
        <v>559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1742</v>
      </c>
      <c r="H1813" s="97" t="s">
        <v>559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182</v>
      </c>
      <c r="AA1813" s="79"/>
    </row>
    <row r="1814" spans="1:27">
      <c r="A1814" s="88" t="s">
        <v>1741</v>
      </c>
      <c r="B1814" s="83" t="str">
        <f t="shared" si="451"/>
        <v>DEL_FLG</v>
      </c>
      <c r="C1814" s="87" t="s">
        <v>180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1740</v>
      </c>
      <c r="H1814" s="97" t="s">
        <v>1730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1739</v>
      </c>
      <c r="AA1814" s="79"/>
    </row>
    <row r="1815" spans="1:27">
      <c r="A1815" s="88" t="s">
        <v>1738</v>
      </c>
      <c r="B1815" s="83" t="str">
        <f t="shared" si="451"/>
        <v>ZOKUGARA_CD</v>
      </c>
      <c r="C1815" s="266" t="s">
        <v>7019</v>
      </c>
      <c r="D1815" s="82" t="str">
        <f t="shared" si="448"/>
        <v>Char</v>
      </c>
      <c r="E1815" s="82">
        <f t="shared" si="449"/>
        <v>2</v>
      </c>
      <c r="F1815" s="82" t="str">
        <f t="shared" si="450"/>
        <v/>
      </c>
      <c r="G1815" s="98" t="s">
        <v>1736</v>
      </c>
      <c r="H1815" s="97" t="s">
        <v>1737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1732</v>
      </c>
      <c r="AA1815" s="267" t="s">
        <v>7026</v>
      </c>
    </row>
    <row r="1816" spans="1:27">
      <c r="A1816" s="88" t="s">
        <v>1509</v>
      </c>
      <c r="B1816" s="83" t="str">
        <f t="shared" si="451"/>
        <v>ZOKUGARA</v>
      </c>
      <c r="C1816" s="87" t="s">
        <v>1509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1736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182</v>
      </c>
      <c r="AA1816" s="79"/>
    </row>
    <row r="1817" spans="1:27">
      <c r="A1817" s="88" t="s">
        <v>1735</v>
      </c>
      <c r="B1817" s="83" t="str">
        <f t="shared" si="451"/>
        <v>PAYEE_SETTEI_KB</v>
      </c>
      <c r="C1817" s="87" t="s">
        <v>180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1508</v>
      </c>
      <c r="H1817" s="97" t="s">
        <v>1734</v>
      </c>
      <c r="I1817" s="97" t="s">
        <v>1733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1732</v>
      </c>
      <c r="AA1817" s="79"/>
    </row>
    <row r="1818" spans="1:27">
      <c r="A1818" s="88" t="s">
        <v>1731</v>
      </c>
      <c r="B1818" s="83" t="str">
        <f t="shared" si="451"/>
        <v>FUKUSUNIN_FLG</v>
      </c>
      <c r="C1818" s="87" t="s">
        <v>1730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1729</v>
      </c>
      <c r="H1818" s="97" t="s">
        <v>1728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182</v>
      </c>
      <c r="AA1818" s="79"/>
    </row>
    <row r="1819" spans="1:27">
      <c r="A1819" s="88" t="s">
        <v>1727</v>
      </c>
      <c r="B1819" s="83" t="str">
        <f t="shared" si="451"/>
        <v>HOKEN_SB</v>
      </c>
      <c r="C1819" s="87" t="s">
        <v>180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499</v>
      </c>
      <c r="H1819" s="97" t="s">
        <v>1726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1690</v>
      </c>
      <c r="AA1819" s="79"/>
    </row>
    <row r="1820" spans="1:27">
      <c r="A1820" s="88" t="s">
        <v>1725</v>
      </c>
      <c r="B1820" s="83" t="str">
        <f t="shared" si="451"/>
        <v>T_LARGE_PLCY_REPORT</v>
      </c>
      <c r="C1820" s="87" t="s">
        <v>1688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1693</v>
      </c>
      <c r="H1820" s="97" t="s">
        <v>1724</v>
      </c>
      <c r="I1820" s="97" t="s">
        <v>1723</v>
      </c>
      <c r="J1820" s="97" t="s">
        <v>1722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1062</v>
      </c>
      <c r="AA1820" s="79"/>
    </row>
    <row r="1821" spans="1:27">
      <c r="A1821" s="88" t="s">
        <v>1721</v>
      </c>
      <c r="B1821" s="83" t="str">
        <f t="shared" si="451"/>
        <v>M_SP_KB_MN</v>
      </c>
      <c r="C1821" s="87" t="s">
        <v>1703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1702</v>
      </c>
      <c r="H1821" s="97" t="s">
        <v>1720</v>
      </c>
      <c r="I1821" s="97" t="s">
        <v>1719</v>
      </c>
      <c r="J1821" s="97" t="s">
        <v>1439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565</v>
      </c>
      <c r="AA1821" s="79"/>
    </row>
    <row r="1822" spans="1:27">
      <c r="A1822" s="88" t="s">
        <v>1718</v>
      </c>
      <c r="B1822" s="83" t="str">
        <f t="shared" si="451"/>
        <v>M_JIGYO_HOKEN_RIDER_MN</v>
      </c>
      <c r="C1822" s="87" t="s">
        <v>1717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1716</v>
      </c>
      <c r="H1822" s="97" t="s">
        <v>1715</v>
      </c>
      <c r="I1822" s="97" t="s">
        <v>499</v>
      </c>
      <c r="J1822" s="97" t="s">
        <v>1691</v>
      </c>
      <c r="K1822" s="97" t="s">
        <v>1439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1690</v>
      </c>
      <c r="AA1822" s="79"/>
    </row>
    <row r="1823" spans="1:27">
      <c r="A1823" s="88" t="s">
        <v>1714</v>
      </c>
      <c r="B1823" s="83" t="str">
        <f t="shared" si="451"/>
        <v>M_LIVING_NEEDS_RIDER_MN</v>
      </c>
      <c r="C1823" s="87" t="s">
        <v>1688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1687</v>
      </c>
      <c r="H1823" s="97" t="s">
        <v>1713</v>
      </c>
      <c r="I1823" s="97" t="s">
        <v>1712</v>
      </c>
      <c r="J1823" s="97" t="s">
        <v>1691</v>
      </c>
      <c r="K1823" s="97" t="s">
        <v>1439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1690</v>
      </c>
      <c r="AA1823" s="79"/>
    </row>
    <row r="1824" spans="1:27">
      <c r="A1824" s="88" t="s">
        <v>1711</v>
      </c>
      <c r="B1824" s="83" t="str">
        <f t="shared" si="451"/>
        <v>M_KIKAN</v>
      </c>
      <c r="C1824" s="87" t="s">
        <v>1688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1687</v>
      </c>
      <c r="H1824" s="97" t="s">
        <v>1709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1690</v>
      </c>
      <c r="AA1824" s="79"/>
    </row>
    <row r="1825" spans="1:27">
      <c r="A1825" s="88" t="s">
        <v>1710</v>
      </c>
      <c r="B1825" s="83" t="str">
        <f t="shared" si="451"/>
        <v>M_RIDER_KIKAN_MN</v>
      </c>
      <c r="C1825" s="87" t="s">
        <v>1688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1687</v>
      </c>
      <c r="H1825" s="97" t="s">
        <v>1432</v>
      </c>
      <c r="I1825" s="97" t="s">
        <v>1709</v>
      </c>
      <c r="J1825" s="97" t="s">
        <v>1439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1690</v>
      </c>
      <c r="AA1825" s="79"/>
    </row>
    <row r="1826" spans="1:27">
      <c r="A1826" s="88" t="s">
        <v>1708</v>
      </c>
      <c r="B1826" s="83" t="str">
        <f t="shared" si="451"/>
        <v>M_B_PLCY_HOKENKIKAN_MN</v>
      </c>
      <c r="C1826" s="87" t="s">
        <v>1688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1687</v>
      </c>
      <c r="H1826" s="97" t="s">
        <v>1692</v>
      </c>
      <c r="I1826" s="97" t="s">
        <v>1707</v>
      </c>
      <c r="J1826" s="97" t="s">
        <v>1439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1690</v>
      </c>
      <c r="AA1826" s="79"/>
    </row>
    <row r="1827" spans="1:27">
      <c r="A1827" s="88" t="s">
        <v>1706</v>
      </c>
      <c r="B1827" s="83" t="str">
        <f t="shared" si="451"/>
        <v>M_RIDER_HARAIKOMIKIKAN_MN</v>
      </c>
      <c r="C1827" s="87" t="s">
        <v>1688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1687</v>
      </c>
      <c r="H1827" s="97" t="s">
        <v>1432</v>
      </c>
      <c r="I1827" s="97" t="s">
        <v>1431</v>
      </c>
      <c r="J1827" s="97" t="s">
        <v>1439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1690</v>
      </c>
      <c r="AA1827" s="79"/>
    </row>
    <row r="1828" spans="1:27">
      <c r="A1828" s="88" t="s">
        <v>1705</v>
      </c>
      <c r="B1828" s="83" t="str">
        <f t="shared" si="451"/>
        <v>M_B_PLCY_HARAIKOMIKIKAN_MN</v>
      </c>
      <c r="C1828" s="87" t="s">
        <v>1688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1687</v>
      </c>
      <c r="H1828" s="97" t="s">
        <v>1692</v>
      </c>
      <c r="I1828" s="97" t="s">
        <v>1431</v>
      </c>
      <c r="J1828" s="97" t="s">
        <v>1439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1062</v>
      </c>
      <c r="AA1828" s="79"/>
    </row>
    <row r="1829" spans="1:27">
      <c r="A1829" s="88" t="s">
        <v>1704</v>
      </c>
      <c r="B1829" s="83" t="str">
        <f t="shared" si="451"/>
        <v>M_SHOHIN_KINGAKU_TANI</v>
      </c>
      <c r="C1829" s="87" t="s">
        <v>1703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1702</v>
      </c>
      <c r="H1829" s="97" t="s">
        <v>1399</v>
      </c>
      <c r="I1829" s="97" t="s">
        <v>1701</v>
      </c>
      <c r="J1829" s="97" t="s">
        <v>1700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1690</v>
      </c>
      <c r="AA1829" s="79"/>
    </row>
    <row r="1830" spans="1:27">
      <c r="A1830" s="88" t="s">
        <v>1699</v>
      </c>
      <c r="B1830" s="83" t="str">
        <f t="shared" si="451"/>
        <v>T_DAIHYO_GROUP</v>
      </c>
      <c r="C1830" s="87" t="s">
        <v>1688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1693</v>
      </c>
      <c r="H1830" s="97" t="s">
        <v>1698</v>
      </c>
      <c r="I1830" s="97" t="s">
        <v>1697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1690</v>
      </c>
      <c r="AA1830" s="79"/>
    </row>
    <row r="1831" spans="1:27">
      <c r="A1831" s="88" t="s">
        <v>1696</v>
      </c>
      <c r="B1831" s="83" t="str">
        <f t="shared" si="451"/>
        <v>T_SALES_JOKYO_REPORT</v>
      </c>
      <c r="C1831" s="87" t="s">
        <v>1688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1693</v>
      </c>
      <c r="H1831" s="97" t="s">
        <v>1695</v>
      </c>
      <c r="I1831" s="97" t="s">
        <v>1503</v>
      </c>
      <c r="J1831" s="97" t="s">
        <v>1667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1690</v>
      </c>
      <c r="AA1831" s="79"/>
    </row>
    <row r="1832" spans="1:27">
      <c r="A1832" s="88" t="s">
        <v>1694</v>
      </c>
      <c r="B1832" s="83" t="str">
        <f t="shared" si="451"/>
        <v>T_B_PLCY_RIDER_RELATION</v>
      </c>
      <c r="C1832" s="87" t="s">
        <v>1688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1693</v>
      </c>
      <c r="H1832" s="97" t="s">
        <v>1692</v>
      </c>
      <c r="I1832" s="97" t="s">
        <v>1691</v>
      </c>
      <c r="J1832" s="97" t="s">
        <v>1612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1690</v>
      </c>
      <c r="AA1832" s="79"/>
    </row>
    <row r="1833" spans="1:27">
      <c r="A1833" s="88" t="s">
        <v>1689</v>
      </c>
      <c r="B1833" s="83" t="str">
        <f t="shared" si="451"/>
        <v>M_HNY</v>
      </c>
      <c r="C1833" s="87" t="s">
        <v>1688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1687</v>
      </c>
      <c r="H1833" s="97" t="s">
        <v>1686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182</v>
      </c>
      <c r="AA1833" s="79"/>
    </row>
    <row r="1834" spans="1:27">
      <c r="A1834" s="88" t="s">
        <v>1685</v>
      </c>
      <c r="B1834" s="83" t="str">
        <f t="shared" si="451"/>
        <v>LEAD_KB_NAME</v>
      </c>
      <c r="C1834" s="87" t="s">
        <v>1684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1683</v>
      </c>
      <c r="H1834" s="97" t="s">
        <v>180</v>
      </c>
      <c r="I1834" s="97" t="s">
        <v>1403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137</v>
      </c>
      <c r="AA1834" s="79"/>
    </row>
    <row r="1835" spans="1:27">
      <c r="A1835" s="88" t="s">
        <v>1682</v>
      </c>
      <c r="B1835" s="83" t="str">
        <f t="shared" si="451"/>
        <v>INSURED_INPUT_COMP_FLG</v>
      </c>
      <c r="C1835" s="87" t="s">
        <v>528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1681</v>
      </c>
      <c r="H1835" s="97" t="s">
        <v>1679</v>
      </c>
      <c r="I1835" s="97" t="s">
        <v>1678</v>
      </c>
      <c r="J1835" s="97" t="s">
        <v>528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137</v>
      </c>
      <c r="AA1835" s="79"/>
    </row>
    <row r="1836" spans="1:27">
      <c r="A1836" s="88" t="s">
        <v>1680</v>
      </c>
      <c r="B1836" s="83" t="str">
        <f t="shared" si="451"/>
        <v>PAYEE_INPUT_COMP_FLG</v>
      </c>
      <c r="C1836" s="87" t="s">
        <v>528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1508</v>
      </c>
      <c r="H1836" s="97" t="s">
        <v>1679</v>
      </c>
      <c r="I1836" s="97" t="s">
        <v>1678</v>
      </c>
      <c r="J1836" s="97" t="s">
        <v>528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137</v>
      </c>
      <c r="AA1836" s="79"/>
    </row>
    <row r="1837" spans="1:27">
      <c r="A1837" s="88" t="s">
        <v>1677</v>
      </c>
      <c r="B1837" s="83" t="str">
        <f t="shared" si="451"/>
        <v>INSURED_TEL_NO_1</v>
      </c>
      <c r="C1837" s="87" t="s">
        <v>1676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205</v>
      </c>
      <c r="H1837" s="127" t="s">
        <v>1671</v>
      </c>
      <c r="I1837" s="127" t="s">
        <v>164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137</v>
      </c>
      <c r="AA1837" s="79"/>
    </row>
    <row r="1838" spans="1:27">
      <c r="A1838" s="88" t="s">
        <v>1675</v>
      </c>
      <c r="B1838" s="83" t="str">
        <f t="shared" si="451"/>
        <v>INSURED_TEL_NO_2</v>
      </c>
      <c r="C1838" s="87" t="s">
        <v>1674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205</v>
      </c>
      <c r="H1838" s="127" t="s">
        <v>1671</v>
      </c>
      <c r="I1838" s="127" t="s">
        <v>164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137</v>
      </c>
      <c r="AA1838" s="79"/>
    </row>
    <row r="1839" spans="1:27">
      <c r="A1839" s="88" t="s">
        <v>1673</v>
      </c>
      <c r="B1839" s="83" t="str">
        <f t="shared" si="451"/>
        <v>INSURED_TEL_NO_3</v>
      </c>
      <c r="C1839" s="87" t="s">
        <v>1672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205</v>
      </c>
      <c r="H1839" s="127" t="s">
        <v>1671</v>
      </c>
      <c r="I1839" s="127" t="s">
        <v>164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137</v>
      </c>
      <c r="AA1839" s="79"/>
    </row>
    <row r="1840" spans="1:27">
      <c r="A1840" s="88" t="s">
        <v>1670</v>
      </c>
      <c r="B1840" s="83" t="str">
        <f t="shared" si="451"/>
        <v>T_TP_PLCY_REPORT</v>
      </c>
      <c r="C1840" s="87" t="s">
        <v>159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167</v>
      </c>
      <c r="H1840" s="97" t="s">
        <v>1668</v>
      </c>
      <c r="I1840" s="97" t="s">
        <v>1484</v>
      </c>
      <c r="J1840" s="97" t="s">
        <v>1667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137</v>
      </c>
      <c r="AA1840" s="79"/>
    </row>
    <row r="1841" spans="1:27">
      <c r="A1841" s="88" t="s">
        <v>1669</v>
      </c>
      <c r="B1841" s="83" t="str">
        <f t="shared" si="451"/>
        <v>T_TP_PLCY_REPORT_PAYEE</v>
      </c>
      <c r="C1841" s="87" t="s">
        <v>159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167</v>
      </c>
      <c r="H1841" s="97" t="s">
        <v>1668</v>
      </c>
      <c r="I1841" s="97" t="s">
        <v>1484</v>
      </c>
      <c r="J1841" s="97" t="s">
        <v>1667</v>
      </c>
      <c r="K1841" s="97" t="s">
        <v>1508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1424</v>
      </c>
      <c r="AA1841" s="79"/>
    </row>
    <row r="1842" spans="1:27">
      <c r="A1842" s="88" t="s">
        <v>1666</v>
      </c>
      <c r="B1842" s="83" t="str">
        <f t="shared" si="451"/>
        <v>M_B_PLCY_KATA_MN</v>
      </c>
      <c r="C1842" s="87" t="s">
        <v>1665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1664</v>
      </c>
      <c r="H1842" s="97" t="s">
        <v>1663</v>
      </c>
      <c r="I1842" s="97" t="s">
        <v>1421</v>
      </c>
      <c r="J1842" s="97" t="s">
        <v>1439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137</v>
      </c>
      <c r="AA1842" s="79"/>
    </row>
    <row r="1843" spans="1:27">
      <c r="A1843" s="88" t="s">
        <v>1662</v>
      </c>
      <c r="B1843" s="83" t="str">
        <f t="shared" si="451"/>
        <v>M_B_PLCY_MN</v>
      </c>
      <c r="C1843" s="87" t="s">
        <v>159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158</v>
      </c>
      <c r="H1843" s="97" t="s">
        <v>1661</v>
      </c>
      <c r="I1843" s="97" t="s">
        <v>1660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137</v>
      </c>
      <c r="AA1843" s="79"/>
    </row>
    <row r="1844" spans="1:27">
      <c r="A1844" s="88" t="s">
        <v>1659</v>
      </c>
      <c r="B1844" s="83" t="str">
        <f t="shared" si="451"/>
        <v>M_ILST_PRNT_DISP_ITEM</v>
      </c>
      <c r="C1844" s="87" t="s">
        <v>159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158</v>
      </c>
      <c r="H1844" s="97" t="s">
        <v>1655</v>
      </c>
      <c r="I1844" s="97" t="s">
        <v>1641</v>
      </c>
      <c r="J1844" s="97" t="s">
        <v>1643</v>
      </c>
      <c r="K1844" s="97" t="s">
        <v>1650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137</v>
      </c>
      <c r="AA1844" s="79"/>
    </row>
    <row r="1845" spans="1:27">
      <c r="A1845" s="88" t="s">
        <v>1658</v>
      </c>
      <c r="B1845" s="83" t="str">
        <f t="shared" si="451"/>
        <v>M_ILST_DRT_ITEM_CTRL_CMN</v>
      </c>
      <c r="C1845" s="87" t="s">
        <v>159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158</v>
      </c>
      <c r="H1845" s="97" t="s">
        <v>1655</v>
      </c>
      <c r="I1845" s="97" t="s">
        <v>1654</v>
      </c>
      <c r="J1845" s="97" t="s">
        <v>1650</v>
      </c>
      <c r="K1845" s="97" t="s">
        <v>813</v>
      </c>
      <c r="L1845" s="116" t="s">
        <v>1657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137</v>
      </c>
      <c r="AA1845" s="79"/>
    </row>
    <row r="1846" spans="1:27">
      <c r="A1846" s="88" t="s">
        <v>1656</v>
      </c>
      <c r="B1846" s="83" t="str">
        <f t="shared" si="451"/>
        <v>M_ILST_DRT_ITEM_CTRL_SPC</v>
      </c>
      <c r="C1846" s="87" t="s">
        <v>159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158</v>
      </c>
      <c r="H1846" s="97" t="s">
        <v>1655</v>
      </c>
      <c r="I1846" s="97" t="s">
        <v>1654</v>
      </c>
      <c r="J1846" s="97" t="s">
        <v>1650</v>
      </c>
      <c r="K1846" s="97" t="s">
        <v>813</v>
      </c>
      <c r="L1846" s="116" t="s">
        <v>1653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137</v>
      </c>
      <c r="AA1846" s="79"/>
    </row>
    <row r="1847" spans="1:27">
      <c r="A1847" s="88" t="s">
        <v>6479</v>
      </c>
      <c r="B1847" s="83" t="str">
        <f t="shared" si="451"/>
        <v>ILST_PRNT_DISP_ITEM_ID</v>
      </c>
      <c r="C1847" s="87" t="s">
        <v>1281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995</v>
      </c>
      <c r="H1847" s="97" t="s">
        <v>1641</v>
      </c>
      <c r="I1847" s="97" t="s">
        <v>147</v>
      </c>
      <c r="J1847" s="97" t="s">
        <v>1650</v>
      </c>
      <c r="K1847" s="97" t="s">
        <v>746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1101</v>
      </c>
      <c r="AA1847" s="79"/>
    </row>
    <row r="1848" spans="1:27">
      <c r="A1848" s="88" t="s">
        <v>1652</v>
      </c>
      <c r="B1848" s="83" t="str">
        <f t="shared" si="451"/>
        <v>ILST_PRNT_DISP_ITEM_NAME</v>
      </c>
      <c r="C1848" s="87" t="s">
        <v>1422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1651</v>
      </c>
      <c r="H1848" s="97" t="s">
        <v>1641</v>
      </c>
      <c r="I1848" s="97" t="s">
        <v>1566</v>
      </c>
      <c r="J1848" s="97" t="s">
        <v>1650</v>
      </c>
      <c r="K1848" s="97" t="s">
        <v>1403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137</v>
      </c>
      <c r="AA1848" s="79"/>
    </row>
    <row r="1849" spans="1:27">
      <c r="A1849" s="88" t="s">
        <v>1649</v>
      </c>
      <c r="B1849" s="83" t="str">
        <f t="shared" si="451"/>
        <v>ILST_PRNT_ZEIKOKA_FLG</v>
      </c>
      <c r="C1849" s="87" t="s">
        <v>528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995</v>
      </c>
      <c r="H1849" s="97" t="s">
        <v>1641</v>
      </c>
      <c r="I1849" s="97" t="s">
        <v>1587</v>
      </c>
      <c r="J1849" s="97" t="s">
        <v>528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137</v>
      </c>
      <c r="AA1849" s="79"/>
    </row>
    <row r="1850" spans="1:27">
      <c r="A1850" s="88" t="s">
        <v>1648</v>
      </c>
      <c r="B1850" s="83" t="str">
        <f t="shared" si="451"/>
        <v>ILST_PRNT_ADV_FLG</v>
      </c>
      <c r="C1850" s="87" t="s">
        <v>528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995</v>
      </c>
      <c r="H1850" s="97" t="s">
        <v>1641</v>
      </c>
      <c r="I1850" s="97" t="s">
        <v>1647</v>
      </c>
      <c r="J1850" s="97" t="s">
        <v>528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182</v>
      </c>
      <c r="AA1850" s="79"/>
    </row>
    <row r="1851" spans="1:27">
      <c r="A1851" s="88" t="s">
        <v>1646</v>
      </c>
      <c r="B1851" s="83" t="str">
        <f t="shared" si="451"/>
        <v>ILST_PRNT_INIT_DISP_KB</v>
      </c>
      <c r="C1851" s="87" t="s">
        <v>180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1645</v>
      </c>
      <c r="H1851" s="97" t="s">
        <v>1641</v>
      </c>
      <c r="I1851" s="97" t="s">
        <v>1644</v>
      </c>
      <c r="J1851" s="97" t="s">
        <v>1643</v>
      </c>
      <c r="K1851" s="97" t="s">
        <v>180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137</v>
      </c>
      <c r="AA1851" s="79"/>
    </row>
    <row r="1852" spans="1:27">
      <c r="A1852" s="88" t="s">
        <v>1642</v>
      </c>
      <c r="B1852" s="83" t="str">
        <f t="shared" si="451"/>
        <v>ILST_PRNT_NENKIMBARAI_FLG</v>
      </c>
      <c r="C1852" s="87" t="s">
        <v>528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995</v>
      </c>
      <c r="H1852" s="97" t="s">
        <v>1641</v>
      </c>
      <c r="I1852" s="97" t="s">
        <v>1640</v>
      </c>
      <c r="J1852" s="97" t="s">
        <v>528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182</v>
      </c>
      <c r="AA1852" s="79"/>
    </row>
    <row r="1853" spans="1:27">
      <c r="A1853" s="88" t="s">
        <v>1639</v>
      </c>
      <c r="B1853" s="83" t="str">
        <f t="shared" si="451"/>
        <v>FAMILY_STRUCTURE_KB_FATHER</v>
      </c>
      <c r="C1853" s="87" t="s">
        <v>180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1623</v>
      </c>
      <c r="H1853" s="97" t="s">
        <v>1622</v>
      </c>
      <c r="I1853" s="97" t="s">
        <v>1638</v>
      </c>
      <c r="J1853" s="97" t="s">
        <v>1637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182</v>
      </c>
      <c r="AA1853" s="79"/>
    </row>
    <row r="1854" spans="1:27">
      <c r="A1854" s="88" t="s">
        <v>1636</v>
      </c>
      <c r="B1854" s="83" t="str">
        <f t="shared" si="451"/>
        <v>FAMILY_STRUCTURE_KB_MOTHER</v>
      </c>
      <c r="C1854" s="87" t="s">
        <v>180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1623</v>
      </c>
      <c r="H1854" s="97" t="s">
        <v>1622</v>
      </c>
      <c r="I1854" s="97" t="s">
        <v>1635</v>
      </c>
      <c r="J1854" s="97" t="s">
        <v>1634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1424</v>
      </c>
      <c r="AA1854" s="79"/>
    </row>
    <row r="1855" spans="1:27">
      <c r="A1855" s="88" t="s">
        <v>1633</v>
      </c>
      <c r="B1855" s="83" t="str">
        <f t="shared" si="451"/>
        <v>FAMILY_STRUCTURE_KB_CHILD</v>
      </c>
      <c r="C1855" s="87" t="s">
        <v>177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1623</v>
      </c>
      <c r="H1855" s="97" t="s">
        <v>1622</v>
      </c>
      <c r="I1855" s="97" t="s">
        <v>1632</v>
      </c>
      <c r="J1855" s="97" t="s">
        <v>1603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1424</v>
      </c>
      <c r="AA1855" s="79"/>
    </row>
    <row r="1856" spans="1:27">
      <c r="A1856" s="88" t="s">
        <v>1631</v>
      </c>
      <c r="B1856" s="83" t="str">
        <f t="shared" si="451"/>
        <v>FAMILY_STRUCTURE_KB_SPOUSE</v>
      </c>
      <c r="C1856" s="87" t="s">
        <v>177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1623</v>
      </c>
      <c r="H1856" s="97" t="s">
        <v>1622</v>
      </c>
      <c r="I1856" s="97" t="s">
        <v>288</v>
      </c>
      <c r="J1856" s="97" t="s">
        <v>1630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1424</v>
      </c>
      <c r="AA1856" s="79"/>
    </row>
    <row r="1857" spans="1:27">
      <c r="A1857" s="88" t="s">
        <v>1629</v>
      </c>
      <c r="B1857" s="83" t="str">
        <f t="shared" si="451"/>
        <v>FAMILY_STRUCTURE_KB_SIBLING</v>
      </c>
      <c r="C1857" s="87" t="s">
        <v>177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1623</v>
      </c>
      <c r="H1857" s="97" t="s">
        <v>1622</v>
      </c>
      <c r="I1857" s="97" t="s">
        <v>288</v>
      </c>
      <c r="J1857" s="97" t="s">
        <v>1628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1424</v>
      </c>
      <c r="AA1857" s="79"/>
    </row>
    <row r="1858" spans="1:27">
      <c r="A1858" s="88" t="s">
        <v>1627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177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1623</v>
      </c>
      <c r="H1858" s="97" t="s">
        <v>1622</v>
      </c>
      <c r="I1858" s="97" t="s">
        <v>288</v>
      </c>
      <c r="J1858" s="97" t="s">
        <v>1626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1424</v>
      </c>
      <c r="AA1858" s="79"/>
    </row>
    <row r="1859" spans="1:27">
      <c r="A1859" s="88" t="s">
        <v>1625</v>
      </c>
      <c r="B1859" s="83" t="str">
        <f t="shared" si="467"/>
        <v>FAMILY_STRUCTURE_OTHER_DET</v>
      </c>
      <c r="C1859" s="87" t="s">
        <v>1624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1623</v>
      </c>
      <c r="H1859" s="97" t="s">
        <v>1622</v>
      </c>
      <c r="I1859" s="97" t="s">
        <v>496</v>
      </c>
      <c r="J1859" s="97" t="s">
        <v>1516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1487</v>
      </c>
      <c r="AA1859" s="79"/>
    </row>
    <row r="1860" spans="1:27">
      <c r="A1860" s="88" t="s">
        <v>1621</v>
      </c>
      <c r="B1860" s="83" t="str">
        <f t="shared" si="467"/>
        <v>PAYEE_BIRTH</v>
      </c>
      <c r="C1860" s="87" t="s">
        <v>1483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1508</v>
      </c>
      <c r="H1860" s="97" t="s">
        <v>595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137</v>
      </c>
      <c r="AA1860" s="79"/>
    </row>
    <row r="1861" spans="1:27">
      <c r="A1861" s="88" t="s">
        <v>1620</v>
      </c>
      <c r="B1861" s="83" t="str">
        <f t="shared" si="467"/>
        <v>PAYEE_SEX_CD</v>
      </c>
      <c r="C1861" s="87" t="s">
        <v>1619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1508</v>
      </c>
      <c r="H1861" s="97" t="s">
        <v>1618</v>
      </c>
      <c r="I1861" s="97" t="s">
        <v>479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379</v>
      </c>
      <c r="AA1861" s="79"/>
    </row>
    <row r="1862" spans="1:27">
      <c r="A1862" s="88" t="s">
        <v>1617</v>
      </c>
      <c r="B1862" s="83" t="str">
        <f t="shared" si="467"/>
        <v>PAYEE_RIYU</v>
      </c>
      <c r="C1862" s="87" t="s">
        <v>557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1508</v>
      </c>
      <c r="H1862" s="97" t="s">
        <v>557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182</v>
      </c>
      <c r="AA1862" s="79"/>
    </row>
    <row r="1863" spans="1:27">
      <c r="A1863" s="88" t="s">
        <v>1616</v>
      </c>
      <c r="B1863" s="83" t="str">
        <f t="shared" si="467"/>
        <v>SHINTO_KB</v>
      </c>
      <c r="C1863" s="87" t="s">
        <v>1610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1615</v>
      </c>
      <c r="H1863" s="97" t="s">
        <v>180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137</v>
      </c>
      <c r="AA1863" s="79"/>
    </row>
    <row r="1864" spans="1:27">
      <c r="A1864" s="88" t="s">
        <v>1614</v>
      </c>
      <c r="B1864" s="83" t="str">
        <f t="shared" si="467"/>
        <v>ECONOMIC_RELATION_KB</v>
      </c>
      <c r="C1864" s="87" t="s">
        <v>288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1613</v>
      </c>
      <c r="H1864" s="97" t="s">
        <v>1612</v>
      </c>
      <c r="I1864" s="97" t="s">
        <v>288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182</v>
      </c>
      <c r="AA1864" s="79"/>
    </row>
    <row r="1865" spans="1:27">
      <c r="A1865" s="88" t="s">
        <v>1611</v>
      </c>
      <c r="B1865" s="83" t="str">
        <f t="shared" si="467"/>
        <v>DOKYO_KB</v>
      </c>
      <c r="C1865" s="87" t="s">
        <v>1610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1608</v>
      </c>
      <c r="H1865" s="97" t="s">
        <v>180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137</v>
      </c>
      <c r="AA1865" s="79"/>
    </row>
    <row r="1866" spans="1:27">
      <c r="A1866" s="88" t="s">
        <v>1609</v>
      </c>
      <c r="B1866" s="83" t="str">
        <f t="shared" si="467"/>
        <v>DOKYO_KIKAN_CD</v>
      </c>
      <c r="C1866" s="87" t="s">
        <v>153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1608</v>
      </c>
      <c r="H1866" s="97" t="s">
        <v>651</v>
      </c>
      <c r="I1866" s="97" t="s">
        <v>479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182</v>
      </c>
      <c r="AA1866" s="79"/>
    </row>
    <row r="1867" spans="1:27">
      <c r="A1867" s="88" t="s">
        <v>1607</v>
      </c>
      <c r="B1867" s="83" t="str">
        <f t="shared" si="467"/>
        <v>INSURED_CHILD_UMU_KB</v>
      </c>
      <c r="C1867" s="87" t="s">
        <v>180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1604</v>
      </c>
      <c r="H1867" s="97" t="s">
        <v>1603</v>
      </c>
      <c r="I1867" s="97" t="s">
        <v>1606</v>
      </c>
      <c r="J1867" s="97" t="s">
        <v>288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182</v>
      </c>
      <c r="AA1867" s="79"/>
    </row>
    <row r="1868" spans="1:27">
      <c r="A1868" s="88" t="s">
        <v>1605</v>
      </c>
      <c r="B1868" s="83" t="str">
        <f t="shared" si="467"/>
        <v>INSURED_CHILD_KB</v>
      </c>
      <c r="C1868" s="87" t="s">
        <v>180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1604</v>
      </c>
      <c r="H1868" s="97" t="s">
        <v>1603</v>
      </c>
      <c r="I1868" s="97" t="s">
        <v>288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182</v>
      </c>
      <c r="AA1868" s="79"/>
    </row>
    <row r="1869" spans="1:27">
      <c r="A1869" s="88" t="s">
        <v>1602</v>
      </c>
      <c r="B1869" s="83" t="str">
        <f t="shared" si="467"/>
        <v>NYUSEKI_PLAN_KB</v>
      </c>
      <c r="C1869" s="87" t="s">
        <v>180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1597</v>
      </c>
      <c r="H1869" s="97" t="s">
        <v>1596</v>
      </c>
      <c r="I1869" s="97" t="s">
        <v>288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379</v>
      </c>
      <c r="AA1869" s="79"/>
    </row>
    <row r="1870" spans="1:27">
      <c r="A1870" s="88" t="s">
        <v>1601</v>
      </c>
      <c r="B1870" s="83" t="str">
        <f t="shared" si="467"/>
        <v>MINYUSEKI_RIYU</v>
      </c>
      <c r="C1870" s="87" t="s">
        <v>1600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1599</v>
      </c>
      <c r="H1870" s="97" t="s">
        <v>557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1487</v>
      </c>
      <c r="AA1870" s="79"/>
    </row>
    <row r="1871" spans="1:27">
      <c r="A1871" s="88" t="s">
        <v>1598</v>
      </c>
      <c r="B1871" s="83" t="str">
        <f t="shared" si="467"/>
        <v>NYUSEKI_PLAN_DATE</v>
      </c>
      <c r="C1871" s="87" t="s">
        <v>1483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1597</v>
      </c>
      <c r="H1871" s="97" t="s">
        <v>1596</v>
      </c>
      <c r="I1871" s="97" t="s">
        <v>1483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137</v>
      </c>
      <c r="AA1871" s="79"/>
    </row>
    <row r="1872" spans="1:27">
      <c r="A1872" s="88" t="s">
        <v>1595</v>
      </c>
      <c r="B1872" s="83" t="str">
        <f t="shared" si="467"/>
        <v>SALES_LINE_CD</v>
      </c>
      <c r="C1872" s="87" t="s">
        <v>1594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1466</v>
      </c>
      <c r="H1872" s="97" t="s">
        <v>1465</v>
      </c>
      <c r="I1872" s="97" t="s">
        <v>479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182</v>
      </c>
      <c r="AA1872" s="79"/>
    </row>
    <row r="1873" spans="1:27">
      <c r="A1873" s="88" t="s">
        <v>1593</v>
      </c>
      <c r="B1873" s="83" t="str">
        <f t="shared" si="467"/>
        <v>SOMPO_PLAN_KB</v>
      </c>
      <c r="C1873" s="87" t="s">
        <v>180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1592</v>
      </c>
      <c r="H1873" s="97" t="s">
        <v>136</v>
      </c>
      <c r="I1873" s="97" t="s">
        <v>288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137</v>
      </c>
      <c r="AA1873" s="79"/>
    </row>
    <row r="1874" spans="1:27">
      <c r="A1874" s="88" t="s">
        <v>1591</v>
      </c>
      <c r="B1874" s="83" t="str">
        <f t="shared" si="467"/>
        <v>M_HARAIKATA_MN</v>
      </c>
      <c r="C1874" s="87" t="s">
        <v>159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158</v>
      </c>
      <c r="H1874" s="97" t="s">
        <v>1590</v>
      </c>
      <c r="I1874" s="97" t="s">
        <v>1439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137</v>
      </c>
      <c r="AA1874" s="79"/>
    </row>
    <row r="1875" spans="1:27">
      <c r="A1875" s="88" t="s">
        <v>1589</v>
      </c>
      <c r="B1875" s="83" t="str">
        <f t="shared" si="467"/>
        <v>M_ATAMAKIN_JUTO_HOSHIKI_MN</v>
      </c>
      <c r="C1875" s="87" t="s">
        <v>159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158</v>
      </c>
      <c r="H1875" s="97" t="s">
        <v>1585</v>
      </c>
      <c r="I1875" s="97" t="s">
        <v>1584</v>
      </c>
      <c r="J1875" s="97" t="s">
        <v>1583</v>
      </c>
      <c r="K1875" s="97" t="s">
        <v>1439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137</v>
      </c>
      <c r="AA1875" s="79"/>
    </row>
    <row r="1876" spans="1:27">
      <c r="A1876" s="88" t="s">
        <v>1588</v>
      </c>
      <c r="B1876" s="83" t="str">
        <f t="shared" si="467"/>
        <v>M_ZEIKOKA_MN</v>
      </c>
      <c r="C1876" s="87" t="s">
        <v>159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158</v>
      </c>
      <c r="H1876" s="97" t="s">
        <v>1587</v>
      </c>
      <c r="I1876" s="97" t="s">
        <v>1439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182</v>
      </c>
      <c r="AA1876" s="79"/>
    </row>
    <row r="1877" spans="1:27">
      <c r="A1877" s="88" t="s">
        <v>1586</v>
      </c>
      <c r="B1877" s="83" t="str">
        <f t="shared" si="467"/>
        <v>ATAMAKIN_JUTO_HOSHIKI_KB</v>
      </c>
      <c r="C1877" s="87" t="s">
        <v>180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1585</v>
      </c>
      <c r="H1877" s="97" t="s">
        <v>1584</v>
      </c>
      <c r="I1877" s="97" t="s">
        <v>1583</v>
      </c>
      <c r="J1877" s="97" t="s">
        <v>288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137</v>
      </c>
      <c r="AA1877" s="79"/>
    </row>
    <row r="1878" spans="1:27">
      <c r="A1878" s="88" t="s">
        <v>1582</v>
      </c>
      <c r="B1878" s="83" t="str">
        <f t="shared" si="467"/>
        <v>MN_HOSHO_CD</v>
      </c>
      <c r="C1878" s="87" t="s">
        <v>1441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1439</v>
      </c>
      <c r="H1878" s="97" t="s">
        <v>1438</v>
      </c>
      <c r="I1878" s="97" t="s">
        <v>479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137</v>
      </c>
      <c r="AA1878" s="79"/>
    </row>
    <row r="1879" spans="1:27">
      <c r="A1879" s="88" t="s">
        <v>1581</v>
      </c>
      <c r="B1879" s="83" t="str">
        <f t="shared" si="467"/>
        <v>MN_KATA_CD</v>
      </c>
      <c r="C1879" s="87" t="s">
        <v>1574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1439</v>
      </c>
      <c r="H1879" s="97" t="s">
        <v>1580</v>
      </c>
      <c r="I1879" s="97" t="s">
        <v>479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137</v>
      </c>
      <c r="AA1879" s="79"/>
    </row>
    <row r="1880" spans="1:27">
      <c r="A1880" s="88" t="s">
        <v>1579</v>
      </c>
      <c r="B1880" s="83" t="str">
        <f t="shared" si="467"/>
        <v>B_PLCY_MN_HOSHO_CD</v>
      </c>
      <c r="C1880" s="87" t="s">
        <v>1441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1577</v>
      </c>
      <c r="H1880" s="97" t="s">
        <v>1439</v>
      </c>
      <c r="I1880" s="97" t="s">
        <v>1438</v>
      </c>
      <c r="J1880" s="97" t="s">
        <v>479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1424</v>
      </c>
      <c r="AA1880" s="79"/>
    </row>
    <row r="1881" spans="1:27">
      <c r="A1881" s="88" t="s">
        <v>1578</v>
      </c>
      <c r="B1881" s="83" t="str">
        <f t="shared" si="467"/>
        <v>B_PLCY_MN_KATA_CD</v>
      </c>
      <c r="C1881" s="87" t="s">
        <v>1574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1577</v>
      </c>
      <c r="H1881" s="97" t="s">
        <v>1439</v>
      </c>
      <c r="I1881" s="97" t="s">
        <v>1421</v>
      </c>
      <c r="J1881" s="97" t="s">
        <v>479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137</v>
      </c>
      <c r="AA1881" s="79"/>
    </row>
    <row r="1882" spans="1:27">
      <c r="A1882" s="88" t="s">
        <v>1576</v>
      </c>
      <c r="B1882" s="83" t="str">
        <f t="shared" si="467"/>
        <v>RIDER_MN_HOSHO_CD</v>
      </c>
      <c r="C1882" s="87" t="s">
        <v>1441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1432</v>
      </c>
      <c r="H1882" s="97" t="s">
        <v>1439</v>
      </c>
      <c r="I1882" s="97" t="s">
        <v>1438</v>
      </c>
      <c r="J1882" s="97" t="s">
        <v>479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1424</v>
      </c>
      <c r="AA1882" s="79"/>
    </row>
    <row r="1883" spans="1:27">
      <c r="A1883" s="88" t="s">
        <v>1575</v>
      </c>
      <c r="B1883" s="83" t="str">
        <f t="shared" si="467"/>
        <v>RIDER_MN_KATA_CD</v>
      </c>
      <c r="C1883" s="87" t="s">
        <v>1574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1432</v>
      </c>
      <c r="H1883" s="97" t="s">
        <v>1439</v>
      </c>
      <c r="I1883" s="97" t="s">
        <v>1421</v>
      </c>
      <c r="J1883" s="97" t="s">
        <v>1573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1571</v>
      </c>
      <c r="AA1883" s="79"/>
    </row>
    <row r="1884" spans="1:27">
      <c r="A1884" s="88" t="s">
        <v>1572</v>
      </c>
      <c r="B1884" s="83" t="str">
        <f t="shared" si="467"/>
        <v>SHOHIN_SCR_DISP_NAME</v>
      </c>
      <c r="C1884" s="87" t="s">
        <v>1422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1399</v>
      </c>
      <c r="H1884" s="97" t="s">
        <v>1564</v>
      </c>
      <c r="I1884" s="97" t="s">
        <v>1566</v>
      </c>
      <c r="J1884" s="97" t="s">
        <v>1403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1571</v>
      </c>
      <c r="AA1884" s="79"/>
    </row>
    <row r="1885" spans="1:27">
      <c r="A1885" s="88" t="s">
        <v>1570</v>
      </c>
      <c r="B1885" s="83" t="str">
        <f t="shared" si="467"/>
        <v>SHOHIN_SCR_DISP_RNAME</v>
      </c>
      <c r="C1885" s="87" t="s">
        <v>1560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1399</v>
      </c>
      <c r="H1885" s="97" t="s">
        <v>1564</v>
      </c>
      <c r="I1885" s="97" t="s">
        <v>147</v>
      </c>
      <c r="J1885" s="97" t="s">
        <v>1559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1101</v>
      </c>
      <c r="AA1885" s="79"/>
    </row>
    <row r="1886" spans="1:27">
      <c r="A1886" s="88" t="s">
        <v>1569</v>
      </c>
      <c r="B1886" s="83" t="str">
        <f t="shared" si="467"/>
        <v>SHOHIN_RPT_OUTPUT_NAME</v>
      </c>
      <c r="C1886" s="87" t="s">
        <v>1422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1399</v>
      </c>
      <c r="H1886" s="97" t="s">
        <v>1526</v>
      </c>
      <c r="I1886" s="97" t="s">
        <v>1525</v>
      </c>
      <c r="J1886" s="97" t="s">
        <v>1403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137</v>
      </c>
      <c r="AA1886" s="79"/>
    </row>
    <row r="1887" spans="1:27">
      <c r="A1887" s="88" t="s">
        <v>1568</v>
      </c>
      <c r="B1887" s="83" t="str">
        <f t="shared" si="467"/>
        <v>SHOHIN_RPT_OUTPUT_RNAME</v>
      </c>
      <c r="C1887" s="87" t="s">
        <v>1560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1399</v>
      </c>
      <c r="H1887" s="97" t="s">
        <v>1526</v>
      </c>
      <c r="I1887" s="97" t="s">
        <v>1525</v>
      </c>
      <c r="J1887" s="97" t="s">
        <v>1559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1424</v>
      </c>
      <c r="AA1887" s="79"/>
    </row>
    <row r="1888" spans="1:27">
      <c r="A1888" s="88" t="s">
        <v>1567</v>
      </c>
      <c r="B1888" s="83" t="str">
        <f t="shared" si="467"/>
        <v>KATA_SCR_DISP_NAME</v>
      </c>
      <c r="C1888" s="87" t="s">
        <v>1422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1421</v>
      </c>
      <c r="H1888" s="97" t="s">
        <v>1564</v>
      </c>
      <c r="I1888" s="97" t="s">
        <v>1566</v>
      </c>
      <c r="J1888" s="97" t="s">
        <v>1403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1424</v>
      </c>
      <c r="AA1888" s="79"/>
    </row>
    <row r="1889" spans="1:27">
      <c r="A1889" s="88" t="s">
        <v>1565</v>
      </c>
      <c r="B1889" s="83" t="str">
        <f t="shared" si="467"/>
        <v>KATA_SCR_DISP_RNAME</v>
      </c>
      <c r="C1889" s="87" t="s">
        <v>1560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1421</v>
      </c>
      <c r="H1889" s="97" t="s">
        <v>1564</v>
      </c>
      <c r="I1889" s="97" t="s">
        <v>1563</v>
      </c>
      <c r="J1889" s="97" t="s">
        <v>1559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1424</v>
      </c>
      <c r="AA1889" s="79"/>
    </row>
    <row r="1890" spans="1:27">
      <c r="A1890" s="88" t="s">
        <v>1562</v>
      </c>
      <c r="B1890" s="83" t="str">
        <f t="shared" si="467"/>
        <v>KATA_RPT_OUTPUT_NAME</v>
      </c>
      <c r="C1890" s="87" t="s">
        <v>1422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1421</v>
      </c>
      <c r="H1890" s="97" t="s">
        <v>1526</v>
      </c>
      <c r="I1890" s="97" t="s">
        <v>1525</v>
      </c>
      <c r="J1890" s="97" t="s">
        <v>1403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1424</v>
      </c>
      <c r="AA1890" s="79"/>
    </row>
    <row r="1891" spans="1:27">
      <c r="A1891" s="88" t="s">
        <v>1561</v>
      </c>
      <c r="B1891" s="83" t="str">
        <f t="shared" si="467"/>
        <v>KATA_RPT_OUTPUT_RNAME</v>
      </c>
      <c r="C1891" s="87" t="s">
        <v>1560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1421</v>
      </c>
      <c r="H1891" s="97" t="s">
        <v>1526</v>
      </c>
      <c r="I1891" s="97" t="s">
        <v>1525</v>
      </c>
      <c r="J1891" s="97" t="s">
        <v>1559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137</v>
      </c>
      <c r="AA1891" s="79"/>
    </row>
    <row r="1892" spans="1:27">
      <c r="A1892" s="88" t="s">
        <v>1558</v>
      </c>
      <c r="B1892" s="83" t="str">
        <f t="shared" si="467"/>
        <v>M_SHOHIN</v>
      </c>
      <c r="C1892" s="87" t="s">
        <v>159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158</v>
      </c>
      <c r="H1892" s="97" t="s">
        <v>1399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182</v>
      </c>
      <c r="AA1892" s="79"/>
    </row>
    <row r="1893" spans="1:27">
      <c r="A1893" s="88" t="s">
        <v>1557</v>
      </c>
      <c r="B1893" s="83" t="str">
        <f t="shared" si="467"/>
        <v>ACCESS_KB</v>
      </c>
      <c r="C1893" s="87" t="s">
        <v>180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1556</v>
      </c>
      <c r="H1893" s="97" t="s">
        <v>180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182</v>
      </c>
      <c r="AA1893" s="79"/>
    </row>
    <row r="1894" spans="1:27">
      <c r="A1894" s="88" t="s">
        <v>1555</v>
      </c>
      <c r="B1894" s="83" t="str">
        <f t="shared" si="467"/>
        <v>SALES_PLAN_KB</v>
      </c>
      <c r="C1894" s="87" t="s">
        <v>180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1466</v>
      </c>
      <c r="H1894" s="97" t="s">
        <v>136</v>
      </c>
      <c r="I1894" s="97" t="s">
        <v>288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137</v>
      </c>
      <c r="AA1894" s="79"/>
    </row>
    <row r="1895" spans="1:27">
      <c r="A1895" s="88" t="s">
        <v>1554</v>
      </c>
      <c r="B1895" s="83" t="str">
        <f t="shared" si="467"/>
        <v>PLCYHLDR_ADDR_KANA_1</v>
      </c>
      <c r="C1895" s="87" t="s">
        <v>1553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630</v>
      </c>
      <c r="H1895" s="97" t="s">
        <v>578</v>
      </c>
      <c r="I1895" s="97" t="s">
        <v>1552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541</v>
      </c>
      <c r="AA1895" s="79"/>
    </row>
    <row r="1896" spans="1:27">
      <c r="A1896" s="88" t="s">
        <v>1551</v>
      </c>
      <c r="B1896" s="83" t="str">
        <f t="shared" si="467"/>
        <v>PLCYHLDR_ADDR_KANA_2</v>
      </c>
      <c r="C1896" s="87" t="s">
        <v>1550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1542</v>
      </c>
      <c r="H1896" s="97" t="s">
        <v>578</v>
      </c>
      <c r="I1896" s="97" t="s">
        <v>1546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1549</v>
      </c>
      <c r="AA1896" s="79"/>
    </row>
    <row r="1897" spans="1:27">
      <c r="A1897" s="88" t="s">
        <v>1548</v>
      </c>
      <c r="B1897" s="83" t="str">
        <f t="shared" si="467"/>
        <v>PLCYHLDR_ADDR_KANA_3</v>
      </c>
      <c r="C1897" s="87" t="s">
        <v>1547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1542</v>
      </c>
      <c r="H1897" s="97" t="s">
        <v>578</v>
      </c>
      <c r="I1897" s="97" t="s">
        <v>1546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541</v>
      </c>
      <c r="AA1897" s="79"/>
    </row>
    <row r="1898" spans="1:27">
      <c r="A1898" s="88" t="s">
        <v>1545</v>
      </c>
      <c r="B1898" s="83" t="str">
        <f t="shared" si="467"/>
        <v>PLCYHLDR_KIMMUSAKI_SIGN</v>
      </c>
      <c r="C1898" s="87" t="s">
        <v>1538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1542</v>
      </c>
      <c r="H1898" s="97" t="s">
        <v>1544</v>
      </c>
      <c r="I1898" s="97" t="s">
        <v>1533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541</v>
      </c>
      <c r="AA1898" s="79"/>
    </row>
    <row r="1899" spans="1:27">
      <c r="A1899" s="88" t="s">
        <v>1543</v>
      </c>
      <c r="B1899" s="83" t="str">
        <f t="shared" si="467"/>
        <v>PLCYHLDR_SHOKUMU_C_DET_SIGN</v>
      </c>
      <c r="C1899" s="87" t="s">
        <v>1538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1542</v>
      </c>
      <c r="H1899" s="97" t="s">
        <v>1536</v>
      </c>
      <c r="I1899" s="97" t="s">
        <v>1535</v>
      </c>
      <c r="J1899" s="97" t="s">
        <v>1534</v>
      </c>
      <c r="K1899" s="97" t="s">
        <v>1533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541</v>
      </c>
      <c r="AA1899" s="79"/>
    </row>
    <row r="1900" spans="1:27">
      <c r="A1900" s="88" t="s">
        <v>1541</v>
      </c>
      <c r="B1900" s="83" t="str">
        <f t="shared" si="467"/>
        <v>INSURED_KIMMUSAKI_SIGN</v>
      </c>
      <c r="C1900" s="87" t="s">
        <v>1538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1537</v>
      </c>
      <c r="H1900" s="97" t="s">
        <v>1540</v>
      </c>
      <c r="I1900" s="97" t="s">
        <v>1533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541</v>
      </c>
      <c r="AA1900" s="79"/>
    </row>
    <row r="1901" spans="1:27">
      <c r="A1901" s="88" t="s">
        <v>1539</v>
      </c>
      <c r="B1901" s="83" t="str">
        <f t="shared" si="467"/>
        <v>INSURED_SHOKUMU_C_DET_SIGN</v>
      </c>
      <c r="C1901" s="87" t="s">
        <v>1538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1537</v>
      </c>
      <c r="H1901" s="97" t="s">
        <v>1536</v>
      </c>
      <c r="I1901" s="97" t="s">
        <v>1535</v>
      </c>
      <c r="J1901" s="97" t="s">
        <v>1534</v>
      </c>
      <c r="K1901" s="97" t="s">
        <v>1533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137</v>
      </c>
      <c r="AA1901" s="79"/>
    </row>
    <row r="1902" spans="1:27">
      <c r="A1902" s="88" t="s">
        <v>1532</v>
      </c>
      <c r="B1902" s="83" t="str">
        <f t="shared" si="467"/>
        <v>M_HARAIKATA</v>
      </c>
      <c r="C1902" s="87" t="s">
        <v>159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158</v>
      </c>
      <c r="H1902" s="97" t="s">
        <v>1531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137</v>
      </c>
      <c r="AA1902" s="79"/>
    </row>
    <row r="1903" spans="1:27">
      <c r="A1903" s="88" t="s">
        <v>1530</v>
      </c>
      <c r="B1903" s="83" t="str">
        <f t="shared" si="467"/>
        <v>ENTRY_NO</v>
      </c>
      <c r="C1903" s="87" t="s">
        <v>1529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1528</v>
      </c>
      <c r="H1903" s="97" t="s">
        <v>164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137</v>
      </c>
      <c r="AA1903" s="79"/>
    </row>
    <row r="1904" spans="1:27">
      <c r="A1904" s="88" t="s">
        <v>1527</v>
      </c>
      <c r="B1904" s="83" t="str">
        <f t="shared" si="467"/>
        <v>T_RPT_OUTPUT</v>
      </c>
      <c r="C1904" s="87" t="s">
        <v>159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167</v>
      </c>
      <c r="H1904" s="97" t="s">
        <v>1526</v>
      </c>
      <c r="I1904" s="97" t="s">
        <v>1525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182</v>
      </c>
      <c r="AA1904" s="79"/>
    </row>
    <row r="1905" spans="1:27">
      <c r="A1905" s="88" t="s">
        <v>1524</v>
      </c>
      <c r="B1905" s="83" t="str">
        <f t="shared" si="467"/>
        <v>M_SYSTEM</v>
      </c>
      <c r="C1905" s="87" t="s">
        <v>1523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1522</v>
      </c>
      <c r="H1905" s="97" t="s">
        <v>1521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182</v>
      </c>
      <c r="AA1905" s="79"/>
    </row>
    <row r="1906" spans="1:27">
      <c r="A1906" s="88" t="s">
        <v>1520</v>
      </c>
      <c r="B1906" s="83" t="str">
        <f t="shared" si="467"/>
        <v>RPT_KB</v>
      </c>
      <c r="C1906" s="87" t="s">
        <v>180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1519</v>
      </c>
      <c r="H1906" s="97" t="s">
        <v>180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137</v>
      </c>
      <c r="AA1906" s="79"/>
    </row>
    <row r="1907" spans="1:27">
      <c r="A1907" s="88" t="s">
        <v>1518</v>
      </c>
      <c r="B1907" s="83" t="str">
        <f t="shared" si="467"/>
        <v>CORP_C_DET</v>
      </c>
      <c r="C1907" s="87" t="s">
        <v>1517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291</v>
      </c>
      <c r="H1907" s="97" t="s">
        <v>1010</v>
      </c>
      <c r="I1907" s="97" t="s">
        <v>1516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137</v>
      </c>
      <c r="AA1907" s="79"/>
    </row>
    <row r="1908" spans="1:27">
      <c r="A1908" s="96" t="s">
        <v>1515</v>
      </c>
      <c r="B1908" s="83" t="str">
        <f t="shared" si="467"/>
        <v>REPORTER_AGENT_ID</v>
      </c>
      <c r="C1908" s="87" t="s">
        <v>1513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1514</v>
      </c>
      <c r="H1908" s="97" t="s">
        <v>569</v>
      </c>
      <c r="I1908" s="97" t="s">
        <v>746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137</v>
      </c>
      <c r="AA1908" s="79"/>
    </row>
    <row r="1909" spans="1:27">
      <c r="A1909" s="96" t="s">
        <v>6480</v>
      </c>
      <c r="B1909" s="83" t="str">
        <f t="shared" si="467"/>
        <v>SHOKANCHO_AGENT_ID</v>
      </c>
      <c r="C1909" s="87" t="s">
        <v>1513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966</v>
      </c>
      <c r="H1909" s="97" t="s">
        <v>569</v>
      </c>
      <c r="I1909" s="97" t="s">
        <v>746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1487</v>
      </c>
      <c r="AA1909" s="79"/>
    </row>
    <row r="1910" spans="1:27">
      <c r="A1910" s="96" t="s">
        <v>1512</v>
      </c>
      <c r="B1910" s="83" t="str">
        <f t="shared" si="467"/>
        <v>AGENT_HOKOKU_DATE</v>
      </c>
      <c r="C1910" s="87" t="s">
        <v>1483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569</v>
      </c>
      <c r="H1910" s="97" t="s">
        <v>1511</v>
      </c>
      <c r="I1910" s="97" t="s">
        <v>1483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137</v>
      </c>
      <c r="AA1910" s="79"/>
    </row>
    <row r="1911" spans="1:27">
      <c r="A1911" s="88" t="s">
        <v>1510</v>
      </c>
      <c r="B1911" s="83" t="str">
        <f t="shared" si="467"/>
        <v>PAYEE_ZOKUGARA_FREE</v>
      </c>
      <c r="C1911" s="87" t="s">
        <v>1509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1508</v>
      </c>
      <c r="H1911" s="97" t="s">
        <v>1507</v>
      </c>
      <c r="I1911" s="97" t="s">
        <v>1506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182</v>
      </c>
      <c r="AA1911" s="79"/>
    </row>
    <row r="1912" spans="1:27">
      <c r="A1912" s="88" t="s">
        <v>1505</v>
      </c>
      <c r="B1912" s="83" t="str">
        <f t="shared" si="467"/>
        <v>OFFER_DOC_JOKYO_KB</v>
      </c>
      <c r="C1912" s="87" t="s">
        <v>180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1504</v>
      </c>
      <c r="H1912" s="97" t="s">
        <v>562</v>
      </c>
      <c r="I1912" s="97" t="s">
        <v>1503</v>
      </c>
      <c r="J1912" s="97" t="s">
        <v>288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1487</v>
      </c>
      <c r="AA1912" s="79"/>
    </row>
    <row r="1913" spans="1:27">
      <c r="A1913" s="88" t="s">
        <v>1502</v>
      </c>
      <c r="B1913" s="83" t="str">
        <f t="shared" si="467"/>
        <v>KOKUCHI_DATE</v>
      </c>
      <c r="C1913" s="87" t="s">
        <v>1483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546</v>
      </c>
      <c r="H1913" s="97" t="s">
        <v>1501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1101</v>
      </c>
      <c r="AA1913" s="79"/>
    </row>
    <row r="1914" spans="1:27">
      <c r="A1914" s="88" t="s">
        <v>1500</v>
      </c>
      <c r="B1914" s="83" t="str">
        <f t="shared" si="467"/>
        <v>M_SHOHIN_EXCEPTION_NAME</v>
      </c>
      <c r="C1914" s="87" t="s">
        <v>1499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1498</v>
      </c>
      <c r="H1914" s="97" t="s">
        <v>1399</v>
      </c>
      <c r="I1914" s="97" t="s">
        <v>1497</v>
      </c>
      <c r="J1914" s="97" t="s">
        <v>1403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137</v>
      </c>
      <c r="AA1914" s="79"/>
    </row>
    <row r="1915" spans="1:27">
      <c r="A1915" s="88" t="s">
        <v>1496</v>
      </c>
      <c r="B1915" s="83" t="str">
        <f t="shared" si="467"/>
        <v>M_SHOHIN_CD_CHANGE</v>
      </c>
      <c r="C1915" s="87" t="s">
        <v>159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158</v>
      </c>
      <c r="H1915" s="97" t="s">
        <v>1399</v>
      </c>
      <c r="I1915" s="97" t="s">
        <v>479</v>
      </c>
      <c r="J1915" s="97" t="s">
        <v>1495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137</v>
      </c>
      <c r="AA1915" s="79"/>
    </row>
    <row r="1916" spans="1:27">
      <c r="A1916" s="88" t="s">
        <v>1494</v>
      </c>
      <c r="B1916" s="83" t="str">
        <f t="shared" si="467"/>
        <v>M_JOB</v>
      </c>
      <c r="C1916" s="87" t="s">
        <v>159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158</v>
      </c>
      <c r="H1916" s="97" t="s">
        <v>1493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137</v>
      </c>
      <c r="AA1916" s="79"/>
    </row>
    <row r="1917" spans="1:27">
      <c r="A1917" s="88" t="s">
        <v>1492</v>
      </c>
      <c r="B1917" s="83" t="str">
        <f t="shared" si="467"/>
        <v>M_RIDER_SHOHIN_MN</v>
      </c>
      <c r="C1917" s="87" t="s">
        <v>159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158</v>
      </c>
      <c r="H1917" s="97" t="s">
        <v>1432</v>
      </c>
      <c r="I1917" s="97" t="s">
        <v>1399</v>
      </c>
      <c r="J1917" s="97" t="s">
        <v>1439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365</v>
      </c>
      <c r="AA1917" s="79"/>
    </row>
    <row r="1918" spans="1:27">
      <c r="A1918" s="88" t="s">
        <v>1491</v>
      </c>
      <c r="B1918" s="83" t="str">
        <f t="shared" si="467"/>
        <v>INSURED_JOB_S_CLASS_NAME</v>
      </c>
      <c r="C1918" s="87" t="s">
        <v>1407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1490</v>
      </c>
      <c r="H1918" s="97" t="s">
        <v>1489</v>
      </c>
      <c r="I1918" s="97" t="s">
        <v>1405</v>
      </c>
      <c r="J1918" s="97" t="s">
        <v>1488</v>
      </c>
      <c r="K1918" s="97" t="s">
        <v>1403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1487</v>
      </c>
      <c r="AA1918" s="79"/>
    </row>
    <row r="1919" spans="1:27">
      <c r="A1919" s="88" t="s">
        <v>1486</v>
      </c>
      <c r="B1919" s="83" t="str">
        <f t="shared" si="467"/>
        <v>PLCY_DATE_TOKUSOKU_FLG</v>
      </c>
      <c r="C1919" s="87" t="s">
        <v>1485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1484</v>
      </c>
      <c r="H1919" s="97" t="s">
        <v>1483</v>
      </c>
      <c r="I1919" s="97" t="s">
        <v>1482</v>
      </c>
      <c r="J1919" s="97" t="s">
        <v>528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137</v>
      </c>
      <c r="AA1919" s="79"/>
    </row>
    <row r="1920" spans="1:27">
      <c r="A1920" s="88" t="s">
        <v>1481</v>
      </c>
      <c r="B1920" s="83" t="str">
        <f t="shared" si="467"/>
        <v>SEKKEI_SHURUI_N_PLCY_FLG</v>
      </c>
      <c r="C1920" s="87" t="s">
        <v>528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1475</v>
      </c>
      <c r="H1920" s="97" t="s">
        <v>1474</v>
      </c>
      <c r="I1920" s="97" t="s">
        <v>1480</v>
      </c>
      <c r="J1920" s="97" t="s">
        <v>528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137</v>
      </c>
      <c r="AA1920" s="79"/>
    </row>
    <row r="1921" spans="1:27">
      <c r="A1921" s="88" t="s">
        <v>1479</v>
      </c>
      <c r="B1921" s="83" t="str">
        <f t="shared" si="467"/>
        <v>SEKKEI_SHURUI_CV_FLG</v>
      </c>
      <c r="C1921" s="87" t="s">
        <v>528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1475</v>
      </c>
      <c r="H1921" s="97" t="s">
        <v>1474</v>
      </c>
      <c r="I1921" s="97" t="s">
        <v>1478</v>
      </c>
      <c r="J1921" s="97" t="s">
        <v>528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137</v>
      </c>
      <c r="AA1921" s="79"/>
    </row>
    <row r="1922" spans="1:27">
      <c r="A1922" s="88" t="s">
        <v>1477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528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1475</v>
      </c>
      <c r="H1922" s="97" t="s">
        <v>1474</v>
      </c>
      <c r="I1922" s="97" t="s">
        <v>1040</v>
      </c>
      <c r="J1922" s="97" t="s">
        <v>528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137</v>
      </c>
      <c r="AA1922" s="79"/>
    </row>
    <row r="1923" spans="1:27">
      <c r="A1923" s="88" t="s">
        <v>1476</v>
      </c>
      <c r="B1923" s="83" t="str">
        <f t="shared" si="483"/>
        <v>SEKKEI_SHURUI_SOMPO_FLG</v>
      </c>
      <c r="C1923" s="87" t="s">
        <v>528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1475</v>
      </c>
      <c r="H1923" s="97" t="s">
        <v>1474</v>
      </c>
      <c r="I1923" s="97" t="s">
        <v>1473</v>
      </c>
      <c r="J1923" s="97" t="s">
        <v>528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137</v>
      </c>
      <c r="AA1923" s="79"/>
    </row>
    <row r="1924" spans="1:27">
      <c r="A1924" s="88" t="s">
        <v>1472</v>
      </c>
      <c r="B1924" s="83" t="str">
        <f t="shared" si="483"/>
        <v>SALES_LINE_AG_FLG</v>
      </c>
      <c r="C1924" s="87" t="s">
        <v>528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1466</v>
      </c>
      <c r="H1924" s="97" t="s">
        <v>1465</v>
      </c>
      <c r="I1924" s="97" t="s">
        <v>1471</v>
      </c>
      <c r="J1924" s="97" t="s">
        <v>528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137</v>
      </c>
      <c r="AA1924" s="79"/>
    </row>
    <row r="1925" spans="1:27">
      <c r="A1925" s="88" t="s">
        <v>1470</v>
      </c>
      <c r="B1925" s="83" t="str">
        <f t="shared" si="483"/>
        <v>SALES_LINE_CO_FLG</v>
      </c>
      <c r="C1925" s="87" t="s">
        <v>528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1466</v>
      </c>
      <c r="H1925" s="97" t="s">
        <v>1465</v>
      </c>
      <c r="I1925" s="97" t="s">
        <v>1469</v>
      </c>
      <c r="J1925" s="97" t="s">
        <v>528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137</v>
      </c>
      <c r="AA1925" s="79"/>
    </row>
    <row r="1926" spans="1:27">
      <c r="A1926" s="88" t="s">
        <v>1468</v>
      </c>
      <c r="B1926" s="83" t="str">
        <f t="shared" si="483"/>
        <v>SALES_LINE_CCI_FLG</v>
      </c>
      <c r="C1926" s="87" t="s">
        <v>528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1466</v>
      </c>
      <c r="H1926" s="97" t="s">
        <v>1465</v>
      </c>
      <c r="I1926" s="97" t="s">
        <v>707</v>
      </c>
      <c r="J1926" s="97" t="s">
        <v>528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137</v>
      </c>
      <c r="AA1926" s="79"/>
    </row>
    <row r="1927" spans="1:27">
      <c r="A1927" s="88" t="s">
        <v>1467</v>
      </c>
      <c r="B1927" s="83" t="str">
        <f t="shared" si="483"/>
        <v>SALES_LINE_FA_FLG</v>
      </c>
      <c r="C1927" s="87" t="s">
        <v>528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1466</v>
      </c>
      <c r="H1927" s="97" t="s">
        <v>1465</v>
      </c>
      <c r="I1927" s="97" t="s">
        <v>705</v>
      </c>
      <c r="J1927" s="97" t="s">
        <v>528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541</v>
      </c>
      <c r="AA1927" s="79"/>
    </row>
    <row r="1928" spans="1:27">
      <c r="A1928" s="88" t="s">
        <v>1464</v>
      </c>
      <c r="B1928" s="83" t="str">
        <f t="shared" si="483"/>
        <v>RIDER_AUTO_ADD_FLG</v>
      </c>
      <c r="C1928" s="87" t="s">
        <v>1463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1432</v>
      </c>
      <c r="H1928" s="97" t="s">
        <v>1461</v>
      </c>
      <c r="I1928" s="97" t="s">
        <v>1460</v>
      </c>
      <c r="J1928" s="97" t="s">
        <v>528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541</v>
      </c>
      <c r="AA1928" s="79"/>
    </row>
    <row r="1929" spans="1:27">
      <c r="A1929" s="88" t="s">
        <v>1462</v>
      </c>
      <c r="B1929" s="83" t="str">
        <f t="shared" si="483"/>
        <v>RIDER_AUTO_ADD_ORDER</v>
      </c>
      <c r="C1929" s="87" t="s">
        <v>723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1432</v>
      </c>
      <c r="H1929" s="97" t="s">
        <v>1461</v>
      </c>
      <c r="I1929" s="97" t="s">
        <v>1460</v>
      </c>
      <c r="J1929" s="97" t="s">
        <v>723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1459</v>
      </c>
      <c r="AA1929" s="79"/>
    </row>
    <row r="1930" spans="1:27">
      <c r="A1930" s="88" t="s">
        <v>1458</v>
      </c>
      <c r="B1930" s="83" t="str">
        <f t="shared" si="483"/>
        <v>RIDER_UN_MOD_FLG</v>
      </c>
      <c r="C1930" s="87" t="s">
        <v>1457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1432</v>
      </c>
      <c r="H1930" s="97" t="s">
        <v>1456</v>
      </c>
      <c r="I1930" s="97" t="s">
        <v>1455</v>
      </c>
      <c r="J1930" s="97" t="s">
        <v>528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182</v>
      </c>
      <c r="AA1930" s="79"/>
    </row>
    <row r="1931" spans="1:27">
      <c r="A1931" s="88" t="s">
        <v>1454</v>
      </c>
      <c r="B1931" s="83" t="str">
        <f t="shared" si="483"/>
        <v>RIDER_DP_JOKEN_KB</v>
      </c>
      <c r="C1931" s="87" t="s">
        <v>180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1432</v>
      </c>
      <c r="H1931" s="97" t="s">
        <v>1440</v>
      </c>
      <c r="I1931" s="97" t="s">
        <v>1453</v>
      </c>
      <c r="J1931" s="97" t="s">
        <v>288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1443</v>
      </c>
      <c r="AA1931" s="79"/>
    </row>
    <row r="1932" spans="1:27">
      <c r="A1932" s="88" t="s">
        <v>1452</v>
      </c>
      <c r="B1932" s="83" t="str">
        <f t="shared" si="483"/>
        <v>DP_RIDER_MN_HOSHO_CD_1</v>
      </c>
      <c r="C1932" s="87" t="s">
        <v>1441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1440</v>
      </c>
      <c r="H1932" s="97" t="s">
        <v>1432</v>
      </c>
      <c r="I1932" s="97" t="s">
        <v>1439</v>
      </c>
      <c r="J1932" s="97" t="s">
        <v>1438</v>
      </c>
      <c r="K1932" s="97" t="s">
        <v>479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1443</v>
      </c>
      <c r="AA1932" s="79"/>
    </row>
    <row r="1933" spans="1:27">
      <c r="A1933" s="88" t="s">
        <v>1451</v>
      </c>
      <c r="B1933" s="83" t="str">
        <f t="shared" si="483"/>
        <v>DP_RIDER_MN_HOSHO_CD_2</v>
      </c>
      <c r="C1933" s="87" t="s">
        <v>1441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1440</v>
      </c>
      <c r="H1933" s="97" t="s">
        <v>1432</v>
      </c>
      <c r="I1933" s="97" t="s">
        <v>1439</v>
      </c>
      <c r="J1933" s="97" t="s">
        <v>1438</v>
      </c>
      <c r="K1933" s="97" t="s">
        <v>479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1443</v>
      </c>
      <c r="AA1933" s="79"/>
    </row>
    <row r="1934" spans="1:27">
      <c r="A1934" s="88" t="s">
        <v>1450</v>
      </c>
      <c r="B1934" s="83" t="str">
        <f t="shared" si="483"/>
        <v>DP_RIDER_MN_HOSHO_CD_3</v>
      </c>
      <c r="C1934" s="87" t="s">
        <v>1441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1440</v>
      </c>
      <c r="H1934" s="97" t="s">
        <v>1432</v>
      </c>
      <c r="I1934" s="97" t="s">
        <v>1439</v>
      </c>
      <c r="J1934" s="97" t="s">
        <v>1438</v>
      </c>
      <c r="K1934" s="97" t="s">
        <v>479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1443</v>
      </c>
      <c r="AA1934" s="79"/>
    </row>
    <row r="1935" spans="1:27">
      <c r="A1935" s="88" t="s">
        <v>1449</v>
      </c>
      <c r="B1935" s="83" t="str">
        <f t="shared" si="483"/>
        <v>DP_RIDER_MN_HOSHO_CD_4</v>
      </c>
      <c r="C1935" s="87" t="s">
        <v>1441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1440</v>
      </c>
      <c r="H1935" s="97" t="s">
        <v>1432</v>
      </c>
      <c r="I1935" s="97" t="s">
        <v>1439</v>
      </c>
      <c r="J1935" s="97" t="s">
        <v>1438</v>
      </c>
      <c r="K1935" s="97" t="s">
        <v>1448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1443</v>
      </c>
      <c r="AA1935" s="79"/>
    </row>
    <row r="1936" spans="1:27">
      <c r="A1936" s="88" t="s">
        <v>1447</v>
      </c>
      <c r="B1936" s="83" t="str">
        <f t="shared" si="483"/>
        <v>DP_RIDER_MN_HOSHO_CD_5</v>
      </c>
      <c r="C1936" s="87" t="s">
        <v>1441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1440</v>
      </c>
      <c r="H1936" s="97" t="s">
        <v>1432</v>
      </c>
      <c r="I1936" s="97" t="s">
        <v>1439</v>
      </c>
      <c r="J1936" s="97" t="s">
        <v>1438</v>
      </c>
      <c r="K1936" s="97" t="s">
        <v>479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1443</v>
      </c>
      <c r="AA1936" s="79"/>
    </row>
    <row r="1937" spans="1:27">
      <c r="A1937" s="88" t="s">
        <v>1446</v>
      </c>
      <c r="B1937" s="83" t="str">
        <f t="shared" si="483"/>
        <v>DP_RIDER_MN_HOSHO_CD_6</v>
      </c>
      <c r="C1937" s="87" t="s">
        <v>1441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1440</v>
      </c>
      <c r="H1937" s="97" t="s">
        <v>1432</v>
      </c>
      <c r="I1937" s="97" t="s">
        <v>1439</v>
      </c>
      <c r="J1937" s="97" t="s">
        <v>1438</v>
      </c>
      <c r="K1937" s="97" t="s">
        <v>479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1443</v>
      </c>
      <c r="AA1937" s="79"/>
    </row>
    <row r="1938" spans="1:27">
      <c r="A1938" s="88" t="s">
        <v>1445</v>
      </c>
      <c r="B1938" s="83" t="str">
        <f t="shared" si="483"/>
        <v>DP_RIDER_MN_HOSHO_CD_7</v>
      </c>
      <c r="C1938" s="87" t="s">
        <v>1441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1440</v>
      </c>
      <c r="H1938" s="97" t="s">
        <v>1432</v>
      </c>
      <c r="I1938" s="97" t="s">
        <v>1439</v>
      </c>
      <c r="J1938" s="97" t="s">
        <v>1438</v>
      </c>
      <c r="K1938" s="97" t="s">
        <v>479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1443</v>
      </c>
      <c r="AA1938" s="79"/>
    </row>
    <row r="1939" spans="1:27">
      <c r="A1939" s="88" t="s">
        <v>1444</v>
      </c>
      <c r="B1939" s="83" t="str">
        <f t="shared" si="483"/>
        <v>DP_RIDER_MN_HOSHO_CD_8</v>
      </c>
      <c r="C1939" s="87" t="s">
        <v>1441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1440</v>
      </c>
      <c r="H1939" s="97" t="s">
        <v>1432</v>
      </c>
      <c r="I1939" s="97" t="s">
        <v>1439</v>
      </c>
      <c r="J1939" s="97" t="s">
        <v>1438</v>
      </c>
      <c r="K1939" s="97" t="s">
        <v>479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1443</v>
      </c>
      <c r="AA1939" s="79"/>
    </row>
    <row r="1940" spans="1:27">
      <c r="A1940" s="88" t="s">
        <v>1442</v>
      </c>
      <c r="B1940" s="83" t="str">
        <f t="shared" si="483"/>
        <v>DP_RIDER_MN_HOSHO_CD_9</v>
      </c>
      <c r="C1940" s="87" t="s">
        <v>1441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1440</v>
      </c>
      <c r="H1940" s="97" t="s">
        <v>1432</v>
      </c>
      <c r="I1940" s="97" t="s">
        <v>1439</v>
      </c>
      <c r="J1940" s="97" t="s">
        <v>1438</v>
      </c>
      <c r="K1940" s="97" t="s">
        <v>479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137</v>
      </c>
      <c r="AA1940" s="79"/>
    </row>
    <row r="1941" spans="1:27">
      <c r="A1941" s="88" t="s">
        <v>1437</v>
      </c>
      <c r="B1941" s="83" t="str">
        <f t="shared" si="483"/>
        <v>RIDER_HARAIKOMIKIKAN</v>
      </c>
      <c r="C1941" s="87" t="s">
        <v>1436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1432</v>
      </c>
      <c r="H1941" s="97" t="s">
        <v>1431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182</v>
      </c>
      <c r="AA1941" s="79"/>
    </row>
    <row r="1942" spans="1:27">
      <c r="A1942" s="88" t="s">
        <v>1435</v>
      </c>
      <c r="B1942" s="83" t="str">
        <f t="shared" si="483"/>
        <v>RIDER_HARAIKOMIKIKAN_NENSAI_CD</v>
      </c>
      <c r="C1942" s="87" t="s">
        <v>180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1432</v>
      </c>
      <c r="H1942" s="97" t="s">
        <v>1431</v>
      </c>
      <c r="I1942" s="97" t="s">
        <v>1434</v>
      </c>
      <c r="J1942" s="97" t="s">
        <v>479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182</v>
      </c>
      <c r="AA1942" s="79"/>
    </row>
    <row r="1943" spans="1:27">
      <c r="A1943" s="88" t="s">
        <v>1433</v>
      </c>
      <c r="B1943" s="83" t="str">
        <f t="shared" si="483"/>
        <v>RIDER_HARAIKOMIKIKAN_SB</v>
      </c>
      <c r="C1943" s="87" t="s">
        <v>180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1432</v>
      </c>
      <c r="H1943" s="97" t="s">
        <v>1431</v>
      </c>
      <c r="I1943" s="97" t="s">
        <v>1430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231</v>
      </c>
      <c r="AA1943" s="79"/>
    </row>
    <row r="1944" spans="1:27">
      <c r="A1944" s="88" t="s">
        <v>1427</v>
      </c>
      <c r="B1944" s="83" t="str">
        <f t="shared" si="483"/>
        <v>FUNCTION_ID</v>
      </c>
      <c r="C1944" s="87" t="s">
        <v>1427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1426</v>
      </c>
      <c r="H1944" s="97" t="s">
        <v>746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231</v>
      </c>
      <c r="AA1944" s="79"/>
    </row>
    <row r="1945" spans="1:27">
      <c r="A1945" s="88" t="s">
        <v>1429</v>
      </c>
      <c r="B1945" s="83" t="str">
        <f t="shared" si="483"/>
        <v>FUNCTION_SUB_ID_1</v>
      </c>
      <c r="C1945" s="87" t="s">
        <v>1427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1426</v>
      </c>
      <c r="H1945" s="97" t="s">
        <v>1425</v>
      </c>
      <c r="I1945" s="97" t="s">
        <v>746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231</v>
      </c>
      <c r="AA1945" s="79"/>
    </row>
    <row r="1946" spans="1:27">
      <c r="A1946" s="88" t="s">
        <v>1428</v>
      </c>
      <c r="B1946" s="83" t="str">
        <f t="shared" si="483"/>
        <v>FUNCTION_SUB_ID_2</v>
      </c>
      <c r="C1946" s="87" t="s">
        <v>1427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1426</v>
      </c>
      <c r="H1946" s="97" t="s">
        <v>1425</v>
      </c>
      <c r="I1946" s="97" t="s">
        <v>746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1424</v>
      </c>
      <c r="AA1946" s="79"/>
    </row>
    <row r="1947" spans="1:27">
      <c r="A1947" s="88" t="s">
        <v>1423</v>
      </c>
      <c r="B1947" s="83" t="str">
        <f t="shared" si="483"/>
        <v>KATA_NAME</v>
      </c>
      <c r="C1947" s="87" t="s">
        <v>1422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1421</v>
      </c>
      <c r="H1947" s="97" t="s">
        <v>1403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1419</v>
      </c>
      <c r="AA1947" s="79"/>
    </row>
    <row r="1948" spans="1:27">
      <c r="A1948" s="88" t="s">
        <v>1420</v>
      </c>
      <c r="B1948" s="83" t="str">
        <f t="shared" si="483"/>
        <v>JOB_L_CLASS_CD</v>
      </c>
      <c r="C1948" s="87" t="s">
        <v>1410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1406</v>
      </c>
      <c r="H1948" s="97" t="s">
        <v>1417</v>
      </c>
      <c r="I1948" s="97" t="s">
        <v>1409</v>
      </c>
      <c r="J1948" s="97" t="s">
        <v>479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1419</v>
      </c>
      <c r="AA1948" s="79"/>
    </row>
    <row r="1949" spans="1:27">
      <c r="A1949" s="88" t="s">
        <v>1418</v>
      </c>
      <c r="B1949" s="83" t="str">
        <f t="shared" si="483"/>
        <v>JOB_L_CLASS_NAME</v>
      </c>
      <c r="C1949" s="87" t="s">
        <v>1413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1406</v>
      </c>
      <c r="H1949" s="97" t="s">
        <v>1417</v>
      </c>
      <c r="I1949" s="97" t="s">
        <v>1404</v>
      </c>
      <c r="J1949" s="97" t="s">
        <v>1403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137</v>
      </c>
      <c r="AA1949" s="79"/>
    </row>
    <row r="1950" spans="1:27">
      <c r="A1950" s="88" t="s">
        <v>1416</v>
      </c>
      <c r="B1950" s="83" t="str">
        <f t="shared" si="483"/>
        <v>JOB_M_CLASS_CD</v>
      </c>
      <c r="C1950" s="87" t="s">
        <v>1410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1406</v>
      </c>
      <c r="H1950" s="97" t="s">
        <v>1415</v>
      </c>
      <c r="I1950" s="97" t="s">
        <v>1409</v>
      </c>
      <c r="J1950" s="97" t="s">
        <v>479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1101</v>
      </c>
      <c r="AA1950" s="79"/>
    </row>
    <row r="1951" spans="1:27">
      <c r="A1951" s="88" t="s">
        <v>1414</v>
      </c>
      <c r="B1951" s="83" t="str">
        <f t="shared" si="483"/>
        <v>JOB_M_CLASS_NAME</v>
      </c>
      <c r="C1951" s="87" t="s">
        <v>1413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1406</v>
      </c>
      <c r="H1951" s="97" t="s">
        <v>1412</v>
      </c>
      <c r="I1951" s="97" t="s">
        <v>1404</v>
      </c>
      <c r="J1951" s="97" t="s">
        <v>1403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365</v>
      </c>
      <c r="AA1951" s="79"/>
    </row>
    <row r="1952" spans="1:27">
      <c r="A1952" s="88" t="s">
        <v>1411</v>
      </c>
      <c r="B1952" s="83" t="str">
        <f t="shared" si="483"/>
        <v>JOB_S_CLASS_CD</v>
      </c>
      <c r="C1952" s="87" t="s">
        <v>1410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1406</v>
      </c>
      <c r="H1952" s="97" t="s">
        <v>1405</v>
      </c>
      <c r="I1952" s="97" t="s">
        <v>1409</v>
      </c>
      <c r="J1952" s="97" t="s">
        <v>479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365</v>
      </c>
      <c r="AA1952" s="79"/>
    </row>
    <row r="1953" spans="1:27">
      <c r="A1953" s="88" t="s">
        <v>1408</v>
      </c>
      <c r="B1953" s="83" t="str">
        <f t="shared" si="483"/>
        <v>JOB_S_CLASS_NAME</v>
      </c>
      <c r="C1953" s="87" t="s">
        <v>1407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1406</v>
      </c>
      <c r="H1953" s="97" t="s">
        <v>1405</v>
      </c>
      <c r="I1953" s="97" t="s">
        <v>1404</v>
      </c>
      <c r="J1953" s="97" t="s">
        <v>1403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541</v>
      </c>
      <c r="AA1953" s="79"/>
    </row>
    <row r="1954" spans="1:27">
      <c r="A1954" s="88" t="s">
        <v>1402</v>
      </c>
      <c r="B1954" s="83" t="str">
        <f t="shared" si="483"/>
        <v>M_PAY_EX</v>
      </c>
      <c r="C1954" s="87" t="s">
        <v>1389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1389</v>
      </c>
      <c r="H1954" s="97" t="s">
        <v>1379</v>
      </c>
      <c r="I1954" s="97" t="s">
        <v>1378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541</v>
      </c>
      <c r="AA1954" s="79"/>
    </row>
    <row r="1955" spans="1:27">
      <c r="A1955" s="88" t="s">
        <v>1401</v>
      </c>
      <c r="B1955" s="83" t="str">
        <f t="shared" si="483"/>
        <v>M_PAY_EX_GENDO</v>
      </c>
      <c r="C1955" s="87" t="s">
        <v>1389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1389</v>
      </c>
      <c r="H1955" s="97" t="s">
        <v>1379</v>
      </c>
      <c r="I1955" s="97" t="s">
        <v>1378</v>
      </c>
      <c r="J1955" s="97" t="s">
        <v>693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137</v>
      </c>
      <c r="AA1955" s="79"/>
    </row>
    <row r="1956" spans="1:27">
      <c r="A1956" s="88" t="s">
        <v>1400</v>
      </c>
      <c r="B1956" s="83" t="str">
        <f t="shared" si="483"/>
        <v>M_PAY_EX_SHOHIN</v>
      </c>
      <c r="C1956" s="87" t="s">
        <v>158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158</v>
      </c>
      <c r="H1956" s="97" t="s">
        <v>1379</v>
      </c>
      <c r="I1956" s="97" t="s">
        <v>1378</v>
      </c>
      <c r="J1956" s="97" t="s">
        <v>1399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541</v>
      </c>
      <c r="AA1956" s="79"/>
    </row>
    <row r="1957" spans="1:27">
      <c r="A1957" s="88" t="s">
        <v>1398</v>
      </c>
      <c r="B1957" s="83" t="str">
        <f t="shared" si="483"/>
        <v>M_PAY_JIYU_GROUP</v>
      </c>
      <c r="C1957" s="87" t="s">
        <v>1389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1389</v>
      </c>
      <c r="H1957" s="97" t="s">
        <v>1379</v>
      </c>
      <c r="I1957" s="97" t="s">
        <v>1388</v>
      </c>
      <c r="J1957" s="97" t="s">
        <v>1397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541</v>
      </c>
      <c r="AA1957" s="79"/>
    </row>
    <row r="1958" spans="1:27">
      <c r="A1958" s="88" t="s">
        <v>1396</v>
      </c>
      <c r="B1958" s="83" t="str">
        <f t="shared" si="483"/>
        <v>M_PAY_JIYU_CATEGORY</v>
      </c>
      <c r="C1958" s="87" t="s">
        <v>1389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1389</v>
      </c>
      <c r="H1958" s="97" t="s">
        <v>1379</v>
      </c>
      <c r="I1958" s="97" t="s">
        <v>1388</v>
      </c>
      <c r="J1958" s="97" t="s">
        <v>1395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541</v>
      </c>
      <c r="AA1958" s="79"/>
    </row>
    <row r="1959" spans="1:27">
      <c r="A1959" s="88" t="s">
        <v>1394</v>
      </c>
      <c r="B1959" s="83" t="str">
        <f t="shared" si="483"/>
        <v>M_PAY_JIYU</v>
      </c>
      <c r="C1959" s="87" t="s">
        <v>1389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1389</v>
      </c>
      <c r="H1959" s="97" t="s">
        <v>1379</v>
      </c>
      <c r="I1959" s="97" t="s">
        <v>1388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541</v>
      </c>
      <c r="AA1959" s="79"/>
    </row>
    <row r="1960" spans="1:27">
      <c r="A1960" s="88" t="s">
        <v>1393</v>
      </c>
      <c r="B1960" s="83" t="str">
        <f t="shared" si="483"/>
        <v>M_PAY_JIYU_STR</v>
      </c>
      <c r="C1960" s="87" t="s">
        <v>1389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1389</v>
      </c>
      <c r="H1960" s="97" t="s">
        <v>1379</v>
      </c>
      <c r="I1960" s="97" t="s">
        <v>1388</v>
      </c>
      <c r="J1960" s="97" t="s">
        <v>1386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541</v>
      </c>
      <c r="AA1960" s="79"/>
    </row>
    <row r="1961" spans="1:27">
      <c r="A1961" s="88" t="s">
        <v>1392</v>
      </c>
      <c r="B1961" s="83" t="str">
        <f t="shared" si="483"/>
        <v>M_PAY_JIYU_LABEL</v>
      </c>
      <c r="C1961" s="87" t="s">
        <v>1389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1389</v>
      </c>
      <c r="H1961" s="97" t="s">
        <v>1379</v>
      </c>
      <c r="I1961" s="97" t="s">
        <v>1388</v>
      </c>
      <c r="J1961" s="97" t="s">
        <v>1318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541</v>
      </c>
      <c r="AA1961" s="79"/>
    </row>
    <row r="1962" spans="1:27">
      <c r="A1962" s="88" t="s">
        <v>1391</v>
      </c>
      <c r="B1962" s="83" t="str">
        <f t="shared" si="483"/>
        <v>M_PAY_JIYU_GUARD</v>
      </c>
      <c r="C1962" s="87" t="s">
        <v>1389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1389</v>
      </c>
      <c r="H1962" s="97" t="s">
        <v>1379</v>
      </c>
      <c r="I1962" s="97" t="s">
        <v>1388</v>
      </c>
      <c r="J1962" s="97" t="s">
        <v>1364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541</v>
      </c>
      <c r="AA1962" s="79"/>
    </row>
    <row r="1963" spans="1:27">
      <c r="A1963" s="88" t="s">
        <v>1390</v>
      </c>
      <c r="B1963" s="83" t="str">
        <f t="shared" si="483"/>
        <v>M_KYUFUKIN_JIYU</v>
      </c>
      <c r="C1963" s="87" t="s">
        <v>1389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1389</v>
      </c>
      <c r="H1963" s="97" t="s">
        <v>1383</v>
      </c>
      <c r="I1963" s="97" t="s">
        <v>1388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137</v>
      </c>
      <c r="AA1963" s="79"/>
    </row>
    <row r="1964" spans="1:27">
      <c r="A1964" s="88" t="s">
        <v>1387</v>
      </c>
      <c r="B1964" s="83" t="str">
        <f t="shared" si="483"/>
        <v>M_KYUFUKIN_STR</v>
      </c>
      <c r="C1964" s="87" t="s">
        <v>158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158</v>
      </c>
      <c r="H1964" s="97" t="s">
        <v>1383</v>
      </c>
      <c r="I1964" s="97" t="s">
        <v>1386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495</v>
      </c>
      <c r="AA1964" s="79"/>
    </row>
    <row r="1965" spans="1:27">
      <c r="A1965" s="88" t="s">
        <v>1385</v>
      </c>
      <c r="B1965" s="83" t="str">
        <f t="shared" si="483"/>
        <v>M_KYUFUKIN_GENDO</v>
      </c>
      <c r="C1965" s="87" t="s">
        <v>1384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1384</v>
      </c>
      <c r="H1965" s="97" t="s">
        <v>1383</v>
      </c>
      <c r="I1965" s="97" t="s">
        <v>1382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541</v>
      </c>
      <c r="AA1965" s="79"/>
    </row>
    <row r="1966" spans="1:27">
      <c r="A1966" s="88" t="s">
        <v>1381</v>
      </c>
      <c r="B1966" s="83" t="str">
        <f t="shared" si="483"/>
        <v>PAY_EX_CD</v>
      </c>
      <c r="C1966" s="87" t="s">
        <v>1380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1379</v>
      </c>
      <c r="H1966" s="97" t="s">
        <v>1378</v>
      </c>
      <c r="I1966" s="97" t="s">
        <v>479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137</v>
      </c>
      <c r="AA1966" s="79"/>
    </row>
    <row r="1967" spans="1:27">
      <c r="A1967" s="88" t="s">
        <v>1377</v>
      </c>
      <c r="B1967" s="83" t="str">
        <f t="shared" si="483"/>
        <v>PAY_EX_STR</v>
      </c>
      <c r="C1967" s="87" t="s">
        <v>741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1320</v>
      </c>
      <c r="H1967" s="97" t="s">
        <v>1365</v>
      </c>
      <c r="I1967" s="97" t="s">
        <v>649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137</v>
      </c>
      <c r="AA1967" s="79"/>
    </row>
    <row r="1968" spans="1:27">
      <c r="A1968" s="88" t="s">
        <v>1376</v>
      </c>
      <c r="B1968" s="83" t="str">
        <f t="shared" si="483"/>
        <v>NYUIN_NISSU</v>
      </c>
      <c r="C1968" s="87" t="s">
        <v>1375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1374</v>
      </c>
      <c r="H1968" s="120" t="s">
        <v>1362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137</v>
      </c>
      <c r="AA1968" s="79"/>
    </row>
    <row r="1969" spans="1:27">
      <c r="A1969" s="96" t="s">
        <v>1373</v>
      </c>
      <c r="B1969" s="83" t="str">
        <f t="shared" si="483"/>
        <v>PAY_EX_DISP_KB_GAN</v>
      </c>
      <c r="C1969" s="87" t="s">
        <v>177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1320</v>
      </c>
      <c r="H1969" s="120" t="s">
        <v>1365</v>
      </c>
      <c r="I1969" s="120" t="s">
        <v>147</v>
      </c>
      <c r="J1969" s="120" t="s">
        <v>177</v>
      </c>
      <c r="K1969" s="126" t="s">
        <v>1369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137</v>
      </c>
      <c r="AA1969" s="79"/>
    </row>
    <row r="1970" spans="1:27">
      <c r="A1970" s="96" t="s">
        <v>1372</v>
      </c>
      <c r="B1970" s="83" t="str">
        <f t="shared" si="483"/>
        <v>PAY_EX_DISP_KB_NON_GAN</v>
      </c>
      <c r="C1970" s="87" t="s">
        <v>288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1320</v>
      </c>
      <c r="H1970" s="120" t="s">
        <v>1365</v>
      </c>
      <c r="I1970" s="120" t="s">
        <v>147</v>
      </c>
      <c r="J1970" s="120" t="s">
        <v>177</v>
      </c>
      <c r="K1970" s="125" t="s">
        <v>1371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137</v>
      </c>
      <c r="AA1970" s="79"/>
    </row>
    <row r="1971" spans="1:27">
      <c r="A1971" s="96" t="s">
        <v>1370</v>
      </c>
      <c r="B1971" s="83" t="str">
        <f t="shared" si="483"/>
        <v>PAY_EX_GAN_TAISHO_FLG</v>
      </c>
      <c r="C1971" s="87" t="s">
        <v>528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1320</v>
      </c>
      <c r="H1971" s="120" t="s">
        <v>1365</v>
      </c>
      <c r="I1971" s="123" t="s">
        <v>1369</v>
      </c>
      <c r="J1971" s="124" t="s">
        <v>696</v>
      </c>
      <c r="K1971" s="120" t="s">
        <v>528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137</v>
      </c>
      <c r="AA1971" s="79"/>
    </row>
    <row r="1972" spans="1:27">
      <c r="A1972" s="88" t="s">
        <v>1368</v>
      </c>
      <c r="B1972" s="83" t="str">
        <f t="shared" si="483"/>
        <v>MENSEKI_NISSU</v>
      </c>
      <c r="C1972" s="87" t="s">
        <v>1362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1367</v>
      </c>
      <c r="H1972" s="120" t="s">
        <v>1362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137</v>
      </c>
      <c r="AA1972" s="79"/>
    </row>
    <row r="1973" spans="1:27">
      <c r="A1973" s="88" t="s">
        <v>1366</v>
      </c>
      <c r="B1973" s="83" t="str">
        <f t="shared" si="483"/>
        <v>PAY_EX_GUARD_STR</v>
      </c>
      <c r="C1973" s="87" t="s">
        <v>741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1320</v>
      </c>
      <c r="H1973" s="120" t="s">
        <v>1365</v>
      </c>
      <c r="I1973" s="120" t="s">
        <v>1364</v>
      </c>
      <c r="J1973" s="120" t="s">
        <v>649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137</v>
      </c>
      <c r="AA1973" s="79"/>
    </row>
    <row r="1974" spans="1:27">
      <c r="A1974" s="88" t="s">
        <v>1363</v>
      </c>
      <c r="B1974" s="83" t="str">
        <f t="shared" si="483"/>
        <v>GENDO_NISSU</v>
      </c>
      <c r="C1974" s="87" t="s">
        <v>1345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693</v>
      </c>
      <c r="H1974" s="120" t="s">
        <v>1362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137</v>
      </c>
      <c r="AA1974" s="79"/>
    </row>
    <row r="1975" spans="1:27">
      <c r="A1975" s="88" t="s">
        <v>1361</v>
      </c>
      <c r="B1975" s="83" t="str">
        <f t="shared" si="483"/>
        <v>PAY_JIYU_GROUP_CD</v>
      </c>
      <c r="C1975" s="87" t="s">
        <v>1360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392</v>
      </c>
      <c r="H1975" s="120" t="s">
        <v>1300</v>
      </c>
      <c r="I1975" s="120" t="s">
        <v>1358</v>
      </c>
      <c r="J1975" s="120" t="s">
        <v>183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137</v>
      </c>
      <c r="AA1975" s="79"/>
    </row>
    <row r="1976" spans="1:27">
      <c r="A1976" s="88" t="s">
        <v>1359</v>
      </c>
      <c r="B1976" s="83" t="str">
        <f t="shared" si="483"/>
        <v>PAY_JIYU_GROUP_STR</v>
      </c>
      <c r="C1976" s="87" t="s">
        <v>741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392</v>
      </c>
      <c r="H1976" s="120" t="s">
        <v>1300</v>
      </c>
      <c r="I1976" s="120" t="s">
        <v>1358</v>
      </c>
      <c r="J1976" s="120" t="s">
        <v>725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137</v>
      </c>
      <c r="AA1976" s="79"/>
    </row>
    <row r="1977" spans="1:27">
      <c r="A1977" s="88" t="s">
        <v>1357</v>
      </c>
      <c r="B1977" s="83" t="str">
        <f t="shared" si="483"/>
        <v>PAY_JIYU_CATEGORY_CD</v>
      </c>
      <c r="C1977" s="87" t="s">
        <v>1356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392</v>
      </c>
      <c r="H1977" s="120" t="s">
        <v>1300</v>
      </c>
      <c r="I1977" s="120" t="s">
        <v>1336</v>
      </c>
      <c r="J1977" s="120" t="s">
        <v>183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137</v>
      </c>
      <c r="AA1977" s="79"/>
    </row>
    <row r="1978" spans="1:27">
      <c r="A1978" s="88" t="s">
        <v>1355</v>
      </c>
      <c r="B1978" s="83" t="str">
        <f t="shared" si="483"/>
        <v>PAY_JIYU_CATEGORY_STR</v>
      </c>
      <c r="C1978" s="87" t="s">
        <v>741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392</v>
      </c>
      <c r="H1978" s="120" t="s">
        <v>1300</v>
      </c>
      <c r="I1978" s="120" t="s">
        <v>1336</v>
      </c>
      <c r="J1978" s="120" t="s">
        <v>725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182</v>
      </c>
      <c r="AA1978" s="79"/>
    </row>
    <row r="1979" spans="1:27">
      <c r="A1979" s="88" t="s">
        <v>1354</v>
      </c>
      <c r="B1979" s="83" t="str">
        <f t="shared" si="483"/>
        <v>BUNYA_KB</v>
      </c>
      <c r="C1979" s="87" t="s">
        <v>180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1353</v>
      </c>
      <c r="H1979" s="120" t="s">
        <v>177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137</v>
      </c>
      <c r="AA1979" s="79"/>
    </row>
    <row r="1980" spans="1:27">
      <c r="A1980" s="88" t="s">
        <v>1352</v>
      </c>
      <c r="B1980" s="83" t="str">
        <f t="shared" si="483"/>
        <v>PAY_JIYU_CD</v>
      </c>
      <c r="C1980" s="87" t="s">
        <v>1351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392</v>
      </c>
      <c r="H1980" s="120" t="s">
        <v>1300</v>
      </c>
      <c r="I1980" s="120" t="s">
        <v>183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137</v>
      </c>
      <c r="AA1980" s="79"/>
    </row>
    <row r="1981" spans="1:27">
      <c r="A1981" s="88" t="s">
        <v>1350</v>
      </c>
      <c r="B1981" s="83" t="str">
        <f t="shared" si="483"/>
        <v>PAY_JIYU_LABEL_CD</v>
      </c>
      <c r="C1981" s="87" t="s">
        <v>1308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392</v>
      </c>
      <c r="H1981" s="120" t="s">
        <v>1300</v>
      </c>
      <c r="I1981" s="120" t="s">
        <v>1303</v>
      </c>
      <c r="J1981" s="120" t="s">
        <v>183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137</v>
      </c>
      <c r="AA1981" s="79"/>
    </row>
    <row r="1982" spans="1:27">
      <c r="A1982" s="88" t="s">
        <v>1349</v>
      </c>
      <c r="B1982" s="83" t="str">
        <f t="shared" si="483"/>
        <v>PAY_JIYU_GUARD_CD</v>
      </c>
      <c r="C1982" s="87" t="s">
        <v>1348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392</v>
      </c>
      <c r="H1982" s="120" t="s">
        <v>1300</v>
      </c>
      <c r="I1982" s="120" t="s">
        <v>817</v>
      </c>
      <c r="J1982" s="120" t="s">
        <v>183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137</v>
      </c>
      <c r="AA1982" s="79"/>
    </row>
    <row r="1983" spans="1:27">
      <c r="A1983" s="88" t="s">
        <v>1347</v>
      </c>
      <c r="B1983" s="83" t="str">
        <f t="shared" si="483"/>
        <v>PAY_JIYU_LABEL_KIKAN_FROM</v>
      </c>
      <c r="C1983" s="87" t="s">
        <v>1345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392</v>
      </c>
      <c r="H1983" s="120" t="s">
        <v>1300</v>
      </c>
      <c r="I1983" s="120" t="s">
        <v>1303</v>
      </c>
      <c r="J1983" s="120" t="s">
        <v>864</v>
      </c>
      <c r="K1983" s="120" t="s">
        <v>1285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137</v>
      </c>
      <c r="AA1983" s="79"/>
    </row>
    <row r="1984" spans="1:27">
      <c r="A1984" s="88" t="s">
        <v>1346</v>
      </c>
      <c r="B1984" s="83" t="str">
        <f t="shared" si="483"/>
        <v>PAY_JIYU_LABEL_KIKAN_TO</v>
      </c>
      <c r="C1984" s="87" t="s">
        <v>1345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392</v>
      </c>
      <c r="H1984" s="120" t="s">
        <v>1300</v>
      </c>
      <c r="I1984" s="120" t="s">
        <v>1303</v>
      </c>
      <c r="J1984" s="120" t="s">
        <v>864</v>
      </c>
      <c r="K1984" s="120" t="s">
        <v>1282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182</v>
      </c>
      <c r="AA1984" s="79"/>
    </row>
    <row r="1985" spans="1:27">
      <c r="A1985" s="88" t="s">
        <v>1344</v>
      </c>
      <c r="B1985" s="83" t="str">
        <f t="shared" si="483"/>
        <v>KINGAKU_TANI_KB_MIN</v>
      </c>
      <c r="C1985" s="87" t="s">
        <v>180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414</v>
      </c>
      <c r="H1985" s="120" t="s">
        <v>751</v>
      </c>
      <c r="I1985" s="120" t="s">
        <v>177</v>
      </c>
      <c r="J1985" s="120" t="s">
        <v>1341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182</v>
      </c>
      <c r="AA1985" s="79"/>
    </row>
    <row r="1986" spans="1:27">
      <c r="A1986" s="88" t="s">
        <v>1343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180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414</v>
      </c>
      <c r="H1986" s="120" t="s">
        <v>751</v>
      </c>
      <c r="I1986" s="120" t="s">
        <v>177</v>
      </c>
      <c r="J1986" s="120" t="s">
        <v>1339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137</v>
      </c>
      <c r="AA1986" s="79"/>
    </row>
    <row r="1987" spans="1:27">
      <c r="A1987" s="88" t="s">
        <v>1342</v>
      </c>
      <c r="B1987" s="83" t="str">
        <f t="shared" si="499"/>
        <v>BAISU_MIN</v>
      </c>
      <c r="C1987" s="87" t="s">
        <v>802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1283</v>
      </c>
      <c r="H1987" s="120" t="s">
        <v>1341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137</v>
      </c>
      <c r="AA1987" s="79"/>
    </row>
    <row r="1988" spans="1:27">
      <c r="A1988" s="96" t="s">
        <v>1340</v>
      </c>
      <c r="B1988" s="83" t="str">
        <f t="shared" si="499"/>
        <v>BAISU_MAX</v>
      </c>
      <c r="C1988" s="87" t="s">
        <v>802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1283</v>
      </c>
      <c r="H1988" s="120" t="s">
        <v>1339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137</v>
      </c>
      <c r="AA1988" s="79"/>
    </row>
    <row r="1989" spans="1:27">
      <c r="A1989" s="96" t="s">
        <v>1338</v>
      </c>
      <c r="B1989" s="83" t="str">
        <f t="shared" si="499"/>
        <v>PAY_JIYU_OUTPUT_FLG</v>
      </c>
      <c r="C1989" s="87" t="s">
        <v>528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392</v>
      </c>
      <c r="H1989" s="120" t="s">
        <v>1300</v>
      </c>
      <c r="I1989" s="120" t="s">
        <v>722</v>
      </c>
      <c r="J1989" s="120" t="s">
        <v>465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137</v>
      </c>
      <c r="AA1989" s="79"/>
    </row>
    <row r="1990" spans="1:27">
      <c r="A1990" s="96" t="s">
        <v>1337</v>
      </c>
      <c r="B1990" s="83" t="str">
        <f t="shared" si="499"/>
        <v>PAY_JIYU_CATEGORY_JOI_FLG</v>
      </c>
      <c r="C1990" s="87" t="s">
        <v>528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392</v>
      </c>
      <c r="H1990" s="120" t="s">
        <v>1300</v>
      </c>
      <c r="I1990" s="120" t="s">
        <v>1336</v>
      </c>
      <c r="J1990" s="120" t="s">
        <v>1335</v>
      </c>
      <c r="K1990" s="123" t="s">
        <v>465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137</v>
      </c>
      <c r="AA1990" s="79"/>
    </row>
    <row r="1991" spans="1:27">
      <c r="A1991" s="96" t="s">
        <v>1334</v>
      </c>
      <c r="B1991" s="83" t="str">
        <f t="shared" si="499"/>
        <v>PAY_JIYU_STR</v>
      </c>
      <c r="C1991" s="87" t="s">
        <v>741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392</v>
      </c>
      <c r="H1991" s="120" t="s">
        <v>1300</v>
      </c>
      <c r="I1991" s="120" t="s">
        <v>725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137</v>
      </c>
      <c r="AA1991" s="79"/>
    </row>
    <row r="1992" spans="1:27">
      <c r="A1992" s="88" t="s">
        <v>1333</v>
      </c>
      <c r="B1992" s="83" t="str">
        <f t="shared" si="499"/>
        <v>PAY_JIYU_GUARD_MARK</v>
      </c>
      <c r="C1992" s="87" t="s">
        <v>1332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392</v>
      </c>
      <c r="H1992" s="120" t="s">
        <v>1300</v>
      </c>
      <c r="I1992" s="120" t="s">
        <v>817</v>
      </c>
      <c r="J1992" s="120" t="s">
        <v>1331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137</v>
      </c>
      <c r="AA1992" s="79"/>
    </row>
    <row r="1993" spans="1:27">
      <c r="A1993" s="88" t="s">
        <v>1330</v>
      </c>
      <c r="B1993" s="83" t="str">
        <f t="shared" si="499"/>
        <v>PAY_JIYU_GUARD_STR</v>
      </c>
      <c r="C1993" s="87" t="s">
        <v>1329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392</v>
      </c>
      <c r="H1993" s="120" t="s">
        <v>1300</v>
      </c>
      <c r="I1993" s="120" t="s">
        <v>817</v>
      </c>
      <c r="J1993" s="120" t="s">
        <v>725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137</v>
      </c>
      <c r="AA1993" s="79"/>
    </row>
    <row r="1994" spans="1:27">
      <c r="A1994" s="88" t="s">
        <v>1328</v>
      </c>
      <c r="B1994" s="83" t="str">
        <f t="shared" si="499"/>
        <v>KYUFUKIN_CD</v>
      </c>
      <c r="C1994" s="87" t="s">
        <v>1327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850</v>
      </c>
      <c r="H1994" s="120" t="s">
        <v>183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137</v>
      </c>
      <c r="AA1994" s="79"/>
    </row>
    <row r="1995" spans="1:27">
      <c r="A1995" s="88" t="s">
        <v>1326</v>
      </c>
      <c r="B1995" s="83" t="str">
        <f t="shared" si="499"/>
        <v>KYUFUKIN_GENDO_CD</v>
      </c>
      <c r="C1995" s="87" t="s">
        <v>1325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850</v>
      </c>
      <c r="H1995" s="97" t="s">
        <v>1322</v>
      </c>
      <c r="I1995" s="97" t="s">
        <v>183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137</v>
      </c>
      <c r="AA1995" s="79"/>
    </row>
    <row r="1996" spans="1:27">
      <c r="A1996" s="88" t="s">
        <v>1324</v>
      </c>
      <c r="B1996" s="83" t="str">
        <f t="shared" si="499"/>
        <v>KYUFUKIN_STR</v>
      </c>
      <c r="C1996" s="87" t="s">
        <v>741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850</v>
      </c>
      <c r="H1996" s="97" t="s">
        <v>725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137</v>
      </c>
      <c r="AA1996" s="79"/>
    </row>
    <row r="1997" spans="1:27">
      <c r="A1997" s="88" t="s">
        <v>1323</v>
      </c>
      <c r="B1997" s="83" t="str">
        <f t="shared" si="499"/>
        <v>KYUFUKIN_GENDO_STR</v>
      </c>
      <c r="C1997" s="87" t="s">
        <v>741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850</v>
      </c>
      <c r="H1997" s="97" t="s">
        <v>1322</v>
      </c>
      <c r="I1997" s="97" t="s">
        <v>725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137</v>
      </c>
      <c r="AA1997" s="79"/>
    </row>
    <row r="1998" spans="1:27">
      <c r="A1998" s="88" t="s">
        <v>1321</v>
      </c>
      <c r="B1998" s="83" t="str">
        <f t="shared" si="499"/>
        <v>PAY_JIYU_LABEL_STR</v>
      </c>
      <c r="C1998" s="87" t="s">
        <v>741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1320</v>
      </c>
      <c r="H1998" s="97" t="s">
        <v>1319</v>
      </c>
      <c r="I1998" s="97" t="s">
        <v>1318</v>
      </c>
      <c r="J1998" s="97" t="s">
        <v>649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137</v>
      </c>
      <c r="AA1998" s="79"/>
    </row>
    <row r="1999" spans="1:27">
      <c r="A1999" s="88" t="s">
        <v>1317</v>
      </c>
      <c r="B1999" s="83" t="str">
        <f t="shared" si="499"/>
        <v>SHOKAI_P</v>
      </c>
      <c r="C1999" s="87" t="s">
        <v>414</v>
      </c>
      <c r="D1999" s="82" t="str">
        <f t="shared" si="496"/>
        <v>Number</v>
      </c>
      <c r="E1999" s="82">
        <f t="shared" si="497"/>
        <v>11</v>
      </c>
      <c r="F1999" s="82" t="str">
        <f t="shared" si="498"/>
        <v/>
      </c>
      <c r="G1999" s="98" t="s">
        <v>1315</v>
      </c>
      <c r="H1999" s="97" t="s">
        <v>391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137</v>
      </c>
      <c r="AA1999" s="79"/>
    </row>
    <row r="2000" spans="1:27">
      <c r="A2000" s="88" t="s">
        <v>1316</v>
      </c>
      <c r="B2000" s="83" t="str">
        <f t="shared" si="499"/>
        <v>SHOKAI_P_GOKEI</v>
      </c>
      <c r="C2000" s="87" t="s">
        <v>414</v>
      </c>
      <c r="D2000" s="82" t="str">
        <f t="shared" si="496"/>
        <v>Number</v>
      </c>
      <c r="E2000" s="82">
        <f t="shared" si="497"/>
        <v>11</v>
      </c>
      <c r="F2000" s="82" t="str">
        <f t="shared" si="498"/>
        <v/>
      </c>
      <c r="G2000" s="98" t="s">
        <v>1315</v>
      </c>
      <c r="H2000" s="97" t="s">
        <v>391</v>
      </c>
      <c r="I2000" s="97" t="s">
        <v>1314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182</v>
      </c>
      <c r="AA2000" s="79"/>
    </row>
    <row r="2001" spans="1:27">
      <c r="A2001" s="88" t="s">
        <v>1313</v>
      </c>
      <c r="B2001" s="83" t="str">
        <f t="shared" si="499"/>
        <v>FUBI_SHIKIBETSU</v>
      </c>
      <c r="C2001" s="87" t="s">
        <v>180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1312</v>
      </c>
      <c r="H2001" s="97" t="s">
        <v>1311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137</v>
      </c>
      <c r="AA2001" s="79"/>
    </row>
    <row r="2002" spans="1:27">
      <c r="A2002" s="88" t="s">
        <v>1310</v>
      </c>
      <c r="B2002" s="83" t="str">
        <f t="shared" si="499"/>
        <v>CAMPAIGN_CD</v>
      </c>
      <c r="C2002" s="87" t="s">
        <v>1310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480</v>
      </c>
      <c r="H2002" s="97" t="s">
        <v>479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137</v>
      </c>
      <c r="AA2002" s="79"/>
    </row>
    <row r="2003" spans="1:27">
      <c r="A2003" s="88" t="s">
        <v>1309</v>
      </c>
      <c r="B2003" s="83" t="str">
        <f t="shared" si="499"/>
        <v>PAY_JIYU_MAE_LABEL_CD</v>
      </c>
      <c r="C2003" s="87" t="s">
        <v>1308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392</v>
      </c>
      <c r="H2003" s="97" t="s">
        <v>1300</v>
      </c>
      <c r="I2003" s="97" t="s">
        <v>1307</v>
      </c>
      <c r="J2003" s="97" t="s">
        <v>1303</v>
      </c>
      <c r="K2003" s="97" t="s">
        <v>183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137</v>
      </c>
      <c r="AA2003" s="79"/>
    </row>
    <row r="2004" spans="1:27">
      <c r="A2004" s="88" t="s">
        <v>1306</v>
      </c>
      <c r="B2004" s="83" t="str">
        <f t="shared" si="499"/>
        <v>PAY_JIYU_ATO_LABEL_CD</v>
      </c>
      <c r="C2004" s="87" t="s">
        <v>1305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392</v>
      </c>
      <c r="H2004" s="97" t="s">
        <v>1300</v>
      </c>
      <c r="I2004" s="97" t="s">
        <v>1304</v>
      </c>
      <c r="J2004" s="97" t="s">
        <v>1303</v>
      </c>
      <c r="K2004" s="97" t="s">
        <v>183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137</v>
      </c>
      <c r="AA2004" s="79"/>
    </row>
    <row r="2005" spans="1:27">
      <c r="A2005" s="88" t="s">
        <v>1302</v>
      </c>
      <c r="B2005" s="83" t="str">
        <f t="shared" si="499"/>
        <v>PAY_JIYU_SHIKIBETSU_CD</v>
      </c>
      <c r="C2005" s="87" t="s">
        <v>1301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392</v>
      </c>
      <c r="H2005" s="97" t="s">
        <v>1300</v>
      </c>
      <c r="I2005" s="97" t="s">
        <v>1299</v>
      </c>
      <c r="J2005" s="97" t="s">
        <v>183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137</v>
      </c>
      <c r="AA2005" s="79"/>
    </row>
    <row r="2006" spans="1:27">
      <c r="A2006" s="88" t="s">
        <v>1298</v>
      </c>
      <c r="B2006" s="83" t="str">
        <f t="shared" si="499"/>
        <v>PAY_EX_CD_SELECT_1</v>
      </c>
      <c r="C2006" s="87" t="s">
        <v>1295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392</v>
      </c>
      <c r="H2006" s="97" t="s">
        <v>1294</v>
      </c>
      <c r="I2006" s="97" t="s">
        <v>183</v>
      </c>
      <c r="J2006" s="97" t="s">
        <v>857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137</v>
      </c>
      <c r="AA2006" s="79"/>
    </row>
    <row r="2007" spans="1:27">
      <c r="A2007" s="88" t="s">
        <v>1297</v>
      </c>
      <c r="B2007" s="83" t="str">
        <f t="shared" si="499"/>
        <v>PAY_EX_CD_SELECT_2</v>
      </c>
      <c r="C2007" s="87" t="s">
        <v>1295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392</v>
      </c>
      <c r="H2007" s="97" t="s">
        <v>1294</v>
      </c>
      <c r="I2007" s="97" t="s">
        <v>183</v>
      </c>
      <c r="J2007" s="97" t="s">
        <v>857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137</v>
      </c>
      <c r="AA2007" s="79"/>
    </row>
    <row r="2008" spans="1:27">
      <c r="A2008" s="88" t="s">
        <v>1296</v>
      </c>
      <c r="B2008" s="83" t="str">
        <f t="shared" si="499"/>
        <v>PAY_EX_CD_SELECT_3</v>
      </c>
      <c r="C2008" s="87" t="s">
        <v>1295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392</v>
      </c>
      <c r="H2008" s="97" t="s">
        <v>1294</v>
      </c>
      <c r="I2008" s="97" t="s">
        <v>183</v>
      </c>
      <c r="J2008" s="97" t="s">
        <v>857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137</v>
      </c>
      <c r="AA2008" s="79"/>
    </row>
    <row r="2009" spans="1:27">
      <c r="A2009" s="88" t="s">
        <v>1293</v>
      </c>
      <c r="B2009" s="83" t="str">
        <f t="shared" si="499"/>
        <v>KEISAN_KEKKA_ITEM_KEY</v>
      </c>
      <c r="C2009" s="87" t="s">
        <v>653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1292</v>
      </c>
      <c r="H2009" s="97" t="s">
        <v>1291</v>
      </c>
      <c r="I2009" s="97" t="s">
        <v>655</v>
      </c>
      <c r="J2009" s="97" t="s">
        <v>1290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182</v>
      </c>
      <c r="AA2009" s="79"/>
    </row>
    <row r="2010" spans="1:27">
      <c r="A2010" s="88" t="s">
        <v>1289</v>
      </c>
      <c r="B2010" s="83" t="str">
        <f t="shared" si="499"/>
        <v>SEKKEI_C_SETSUMEI_SHIYO_KB</v>
      </c>
      <c r="C2010" s="87" t="s">
        <v>180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832</v>
      </c>
      <c r="H2010" s="97" t="s">
        <v>375</v>
      </c>
      <c r="I2010" s="97" t="s">
        <v>6</v>
      </c>
      <c r="J2010" s="97" t="s">
        <v>1119</v>
      </c>
      <c r="K2010" s="97" t="s">
        <v>177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137</v>
      </c>
      <c r="AA2010" s="79"/>
    </row>
    <row r="2011" spans="1:27">
      <c r="A2011" s="88" t="s">
        <v>1288</v>
      </c>
      <c r="B2011" s="83" t="str">
        <f t="shared" si="499"/>
        <v>KINGAKU_TANI_KB_FROM</v>
      </c>
      <c r="C2011" s="87" t="s">
        <v>177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414</v>
      </c>
      <c r="H2011" s="97" t="s">
        <v>751</v>
      </c>
      <c r="I2011" s="97" t="s">
        <v>177</v>
      </c>
      <c r="J2011" s="97" t="s">
        <v>1285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137</v>
      </c>
      <c r="AA2011" s="79"/>
    </row>
    <row r="2012" spans="1:27">
      <c r="A2012" s="88" t="s">
        <v>1287</v>
      </c>
      <c r="B2012" s="83" t="str">
        <f t="shared" si="499"/>
        <v>KINGAKU_TANI_KB_TO</v>
      </c>
      <c r="C2012" s="87" t="s">
        <v>177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414</v>
      </c>
      <c r="H2012" s="97" t="s">
        <v>751</v>
      </c>
      <c r="I2012" s="97" t="s">
        <v>177</v>
      </c>
      <c r="J2012" s="97" t="s">
        <v>1282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182</v>
      </c>
      <c r="AA2012" s="79"/>
    </row>
    <row r="2013" spans="1:27">
      <c r="A2013" s="88" t="s">
        <v>1286</v>
      </c>
      <c r="B2013" s="83" t="str">
        <f t="shared" si="499"/>
        <v>BAISU_KB_FROM</v>
      </c>
      <c r="C2013" s="87" t="s">
        <v>180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1283</v>
      </c>
      <c r="H2013" s="97" t="s">
        <v>177</v>
      </c>
      <c r="I2013" s="97" t="s">
        <v>1285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182</v>
      </c>
      <c r="AA2013" s="79"/>
    </row>
    <row r="2014" spans="1:27">
      <c r="A2014" s="88" t="s">
        <v>1284</v>
      </c>
      <c r="B2014" s="83" t="str">
        <f t="shared" si="499"/>
        <v>BAISU_KB_TO</v>
      </c>
      <c r="C2014" s="87" t="s">
        <v>180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1283</v>
      </c>
      <c r="H2014" s="97" t="s">
        <v>177</v>
      </c>
      <c r="I2014" s="97" t="s">
        <v>1282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137</v>
      </c>
      <c r="AA2014" s="79"/>
    </row>
    <row r="2015" spans="1:27">
      <c r="A2015" s="88" t="s">
        <v>1281</v>
      </c>
      <c r="B2015" s="83" t="str">
        <f t="shared" si="499"/>
        <v>DISP_ITEM_ID</v>
      </c>
      <c r="C2015" s="87" t="s">
        <v>1281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843</v>
      </c>
      <c r="H2015" s="97" t="s">
        <v>655</v>
      </c>
      <c r="I2015" s="97" t="s">
        <v>746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137</v>
      </c>
      <c r="AA2015" s="79"/>
    </row>
    <row r="2016" spans="1:27">
      <c r="A2016" s="88" t="s">
        <v>1280</v>
      </c>
      <c r="B2016" s="83" t="str">
        <f t="shared" si="499"/>
        <v>DISP_ITEM_NAME</v>
      </c>
      <c r="C2016" s="87" t="s">
        <v>1276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843</v>
      </c>
      <c r="H2016" s="97" t="s">
        <v>655</v>
      </c>
      <c r="I2016" s="97" t="s">
        <v>728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137</v>
      </c>
      <c r="AA2016" s="79"/>
    </row>
    <row r="2017" spans="1:27">
      <c r="A2017" s="88" t="s">
        <v>1279</v>
      </c>
      <c r="B2017" s="83" t="str">
        <f t="shared" si="499"/>
        <v>DISP_ITEM_NAME_UE</v>
      </c>
      <c r="C2017" s="87" t="s">
        <v>1276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843</v>
      </c>
      <c r="H2017" s="97" t="s">
        <v>655</v>
      </c>
      <c r="I2017" s="97" t="s">
        <v>728</v>
      </c>
      <c r="J2017" s="97" t="s">
        <v>1278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137</v>
      </c>
      <c r="AA2017" s="79"/>
    </row>
    <row r="2018" spans="1:27">
      <c r="A2018" s="88" t="s">
        <v>1277</v>
      </c>
      <c r="B2018" s="83" t="str">
        <f t="shared" si="499"/>
        <v>DISP_ITEM_NAME_SHITA</v>
      </c>
      <c r="C2018" s="87" t="s">
        <v>1276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843</v>
      </c>
      <c r="H2018" s="97" t="s">
        <v>655</v>
      </c>
      <c r="I2018" s="97" t="s">
        <v>728</v>
      </c>
      <c r="J2018" s="97" t="s">
        <v>1275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137</v>
      </c>
      <c r="AA2018" s="79"/>
    </row>
    <row r="2019" spans="1:27">
      <c r="A2019" s="88" t="s">
        <v>1274</v>
      </c>
      <c r="B2019" s="83" t="str">
        <f t="shared" si="499"/>
        <v>SCR_TANI_CD</v>
      </c>
      <c r="C2019" s="87" t="s">
        <v>1271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1273</v>
      </c>
      <c r="H2019" s="97" t="s">
        <v>751</v>
      </c>
      <c r="I2019" s="97" t="s">
        <v>183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137</v>
      </c>
      <c r="AA2019" s="79"/>
    </row>
    <row r="2020" spans="1:27">
      <c r="A2020" s="88" t="s">
        <v>1272</v>
      </c>
      <c r="B2020" s="83" t="str">
        <f t="shared" si="499"/>
        <v>RPT_TANI_CD</v>
      </c>
      <c r="C2020" s="87" t="s">
        <v>1271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729</v>
      </c>
      <c r="H2020" s="97" t="s">
        <v>751</v>
      </c>
      <c r="I2020" s="97" t="s">
        <v>183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137</v>
      </c>
      <c r="AA2020" s="79"/>
    </row>
    <row r="2021" spans="1:27">
      <c r="A2021" s="88" t="s">
        <v>1270</v>
      </c>
      <c r="B2021" s="83" t="str">
        <f t="shared" si="499"/>
        <v>ZEIKOKA_UMU_FLG</v>
      </c>
      <c r="C2021" s="87" t="s">
        <v>465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874</v>
      </c>
      <c r="H2021" s="97" t="s">
        <v>341</v>
      </c>
      <c r="I2021" s="97" t="s">
        <v>465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137</v>
      </c>
      <c r="AA2021" s="79"/>
    </row>
    <row r="2022" spans="1:27">
      <c r="A2022" s="88" t="s">
        <v>1269</v>
      </c>
      <c r="B2022" s="83" t="str">
        <f t="shared" si="499"/>
        <v>ADV_UMU_FLG</v>
      </c>
      <c r="C2022" s="87" t="s">
        <v>465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894</v>
      </c>
      <c r="H2022" s="97" t="s">
        <v>341</v>
      </c>
      <c r="I2022" s="97" t="s">
        <v>465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182</v>
      </c>
      <c r="AA2022" s="79"/>
    </row>
    <row r="2023" spans="1:27">
      <c r="A2023" s="88" t="s">
        <v>1268</v>
      </c>
      <c r="B2023" s="83" t="str">
        <f t="shared" si="499"/>
        <v>INIT_DISP_KASHO_KB</v>
      </c>
      <c r="C2023" s="87" t="s">
        <v>180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1267</v>
      </c>
      <c r="H2023" s="97" t="s">
        <v>843</v>
      </c>
      <c r="I2023" s="97" t="s">
        <v>1266</v>
      </c>
      <c r="J2023" s="97" t="s">
        <v>177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137</v>
      </c>
      <c r="AA2023" s="79"/>
    </row>
    <row r="2024" spans="1:27">
      <c r="A2024" s="88" t="s">
        <v>1265</v>
      </c>
      <c r="B2024" s="83" t="str">
        <f t="shared" si="499"/>
        <v>NENKIMBARAI_RIDER_UMU_FLG</v>
      </c>
      <c r="C2024" s="87" t="s">
        <v>528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960</v>
      </c>
      <c r="H2024" s="97" t="s">
        <v>764</v>
      </c>
      <c r="I2024" s="97" t="s">
        <v>341</v>
      </c>
      <c r="J2024" s="97" t="s">
        <v>465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137</v>
      </c>
      <c r="AA2024" s="79"/>
    </row>
    <row r="2025" spans="1:27">
      <c r="A2025" s="88" t="s">
        <v>1264</v>
      </c>
      <c r="B2025" s="83" t="str">
        <f t="shared" si="499"/>
        <v>M_DRT_DISP_ITEM</v>
      </c>
      <c r="C2025" s="87" t="s">
        <v>1260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766</v>
      </c>
      <c r="H2025" s="117" t="s">
        <v>1259</v>
      </c>
      <c r="I2025" s="97" t="s">
        <v>843</v>
      </c>
      <c r="J2025" s="97" t="s">
        <v>655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137</v>
      </c>
      <c r="AA2025" s="79"/>
    </row>
    <row r="2026" spans="1:27">
      <c r="A2026" s="88" t="s">
        <v>1263</v>
      </c>
      <c r="B2026" s="83" t="str">
        <f t="shared" si="499"/>
        <v>M_DRT_ITEM_CTRL_CMN</v>
      </c>
      <c r="C2026" s="87" t="s">
        <v>1260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766</v>
      </c>
      <c r="H2026" s="117" t="s">
        <v>1259</v>
      </c>
      <c r="I2026" s="97" t="s">
        <v>655</v>
      </c>
      <c r="J2026" s="97" t="s">
        <v>820</v>
      </c>
      <c r="K2026" s="97" t="s">
        <v>1262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137</v>
      </c>
      <c r="AA2026" s="79"/>
    </row>
    <row r="2027" spans="1:27">
      <c r="A2027" s="88" t="s">
        <v>1261</v>
      </c>
      <c r="B2027" s="83" t="str">
        <f t="shared" si="499"/>
        <v>M_DRT_ITEM_CTRL_SPC</v>
      </c>
      <c r="C2027" s="87" t="s">
        <v>1260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766</v>
      </c>
      <c r="H2027" s="114" t="s">
        <v>1259</v>
      </c>
      <c r="I2027" s="113" t="s">
        <v>655</v>
      </c>
      <c r="J2027" s="113" t="s">
        <v>820</v>
      </c>
      <c r="K2027" s="113" t="s">
        <v>824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137</v>
      </c>
      <c r="AA2027" s="79"/>
    </row>
    <row r="2028" spans="1:27">
      <c r="A2028" s="88" t="s">
        <v>1258</v>
      </c>
      <c r="B2028" s="83" t="str">
        <f t="shared" si="499"/>
        <v>SEX_M</v>
      </c>
      <c r="C2028" s="87" t="s">
        <v>191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1257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137</v>
      </c>
      <c r="AA2028" s="79"/>
    </row>
    <row r="2029" spans="1:27">
      <c r="A2029" s="88" t="s">
        <v>1256</v>
      </c>
      <c r="B2029" s="83" t="str">
        <f t="shared" si="499"/>
        <v>SEX_F</v>
      </c>
      <c r="C2029" s="87" t="s">
        <v>191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1255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137</v>
      </c>
      <c r="AA2029" s="79"/>
    </row>
    <row r="2030" spans="1:27">
      <c r="A2030" s="88" t="s">
        <v>1254</v>
      </c>
      <c r="B2030" s="83" t="str">
        <f t="shared" si="499"/>
        <v>SEX_CORP</v>
      </c>
      <c r="C2030" s="87" t="s">
        <v>191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195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137</v>
      </c>
      <c r="AA2030" s="79"/>
    </row>
    <row r="2031" spans="1:27">
      <c r="A2031" s="88" t="s">
        <v>1253</v>
      </c>
      <c r="B2031" s="83" t="str">
        <f t="shared" si="499"/>
        <v>SEX_FUMEI</v>
      </c>
      <c r="C2031" s="87" t="s">
        <v>191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1252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137</v>
      </c>
      <c r="AA2031" s="79"/>
    </row>
    <row r="2032" spans="1:27">
      <c r="A2032" s="88" t="s">
        <v>1251</v>
      </c>
      <c r="B2032" s="83" t="str">
        <f t="shared" si="499"/>
        <v>ZEIKOKA_SETSUMEI_AUTO</v>
      </c>
      <c r="C2032" s="87" t="s">
        <v>191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874</v>
      </c>
      <c r="H2032" s="105" t="s">
        <v>6</v>
      </c>
      <c r="I2032" s="105" t="s">
        <v>917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137</v>
      </c>
      <c r="AA2032" s="79"/>
    </row>
    <row r="2033" spans="1:27">
      <c r="A2033" s="88" t="s">
        <v>1250</v>
      </c>
      <c r="B2033" s="83" t="str">
        <f t="shared" si="499"/>
        <v>ZEIKOKA_SETSUMEI_TEIZO_ALL</v>
      </c>
      <c r="C2033" s="87" t="s">
        <v>191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874</v>
      </c>
      <c r="H2033" s="105" t="s">
        <v>6</v>
      </c>
      <c r="I2033" s="105" t="s">
        <v>1245</v>
      </c>
      <c r="J2033" s="105" t="s">
        <v>1242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137</v>
      </c>
      <c r="AA2033" s="79"/>
    </row>
    <row r="2034" spans="1:27">
      <c r="A2034" s="88" t="s">
        <v>1249</v>
      </c>
      <c r="B2034" s="83" t="str">
        <f t="shared" si="499"/>
        <v>ZEIKOKA_SETSUMEI_TEIZO_HALF</v>
      </c>
      <c r="C2034" s="87" t="s">
        <v>191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874</v>
      </c>
      <c r="H2034" s="105" t="s">
        <v>6</v>
      </c>
      <c r="I2034" s="105" t="s">
        <v>1245</v>
      </c>
      <c r="J2034" s="105" t="s">
        <v>1240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137</v>
      </c>
      <c r="AA2034" s="79"/>
    </row>
    <row r="2035" spans="1:27">
      <c r="A2035" s="88" t="s">
        <v>1248</v>
      </c>
      <c r="B2035" s="83" t="str">
        <f t="shared" si="499"/>
        <v>ZEIKOKA_SETSUMEI_TEIZO_A_THIRD</v>
      </c>
      <c r="C2035" s="87" t="s">
        <v>191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874</v>
      </c>
      <c r="H2035" s="105" t="s">
        <v>6</v>
      </c>
      <c r="I2035" s="105" t="s">
        <v>1245</v>
      </c>
      <c r="J2035" s="105" t="s">
        <v>1247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137</v>
      </c>
      <c r="AA2035" s="79"/>
    </row>
    <row r="2036" spans="1:27">
      <c r="A2036" s="88" t="s">
        <v>1246</v>
      </c>
      <c r="B2036" s="83" t="str">
        <f t="shared" si="499"/>
        <v>ZEIKOKA_SETSUMEI_TEIZO_QUARTER</v>
      </c>
      <c r="C2036" s="87" t="s">
        <v>191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874</v>
      </c>
      <c r="H2036" s="105" t="s">
        <v>6</v>
      </c>
      <c r="I2036" s="105" t="s">
        <v>1245</v>
      </c>
      <c r="J2036" s="105" t="s">
        <v>1244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137</v>
      </c>
      <c r="AA2036" s="79"/>
    </row>
    <row r="2037" spans="1:27">
      <c r="A2037" s="88" t="s">
        <v>1243</v>
      </c>
      <c r="B2037" s="83" t="str">
        <f t="shared" si="499"/>
        <v>ZEIKOKA_SETSUMEI_TEIKI_ALL</v>
      </c>
      <c r="C2037" s="87" t="s">
        <v>191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874</v>
      </c>
      <c r="H2037" s="105" t="s">
        <v>6</v>
      </c>
      <c r="I2037" s="105" t="s">
        <v>293</v>
      </c>
      <c r="J2037" s="105" t="s">
        <v>1242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137</v>
      </c>
      <c r="AA2037" s="79"/>
    </row>
    <row r="2038" spans="1:27">
      <c r="A2038" s="88" t="s">
        <v>1241</v>
      </c>
      <c r="B2038" s="83" t="str">
        <f t="shared" si="499"/>
        <v>ZEIKOKA_SETSUMEI_TEIKI_HALF</v>
      </c>
      <c r="C2038" s="87" t="s">
        <v>191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874</v>
      </c>
      <c r="H2038" s="105" t="s">
        <v>6</v>
      </c>
      <c r="I2038" s="105" t="s">
        <v>293</v>
      </c>
      <c r="J2038" s="105" t="s">
        <v>1240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137</v>
      </c>
      <c r="AA2038" s="79"/>
    </row>
    <row r="2039" spans="1:27">
      <c r="A2039" s="88" t="s">
        <v>1239</v>
      </c>
      <c r="B2039" s="83" t="str">
        <f t="shared" si="499"/>
        <v>SP_KB_P</v>
      </c>
      <c r="C2039" s="87" t="s">
        <v>191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1236</v>
      </c>
      <c r="H2039" s="105" t="s">
        <v>177</v>
      </c>
      <c r="I2039" s="105" t="s">
        <v>1238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137</v>
      </c>
      <c r="AA2039" s="79"/>
    </row>
    <row r="2040" spans="1:27">
      <c r="A2040" s="88" t="s">
        <v>1237</v>
      </c>
      <c r="B2040" s="83" t="str">
        <f t="shared" si="499"/>
        <v>SP_KB_S</v>
      </c>
      <c r="C2040" s="87" t="s">
        <v>191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1236</v>
      </c>
      <c r="H2040" s="105" t="s">
        <v>177</v>
      </c>
      <c r="I2040" s="105" t="s">
        <v>1235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137</v>
      </c>
      <c r="AA2040" s="79"/>
    </row>
    <row r="2041" spans="1:27">
      <c r="A2041" s="88" t="s">
        <v>1234</v>
      </c>
      <c r="B2041" s="83" t="str">
        <f t="shared" si="499"/>
        <v>ADV_HOHO_ICHIBU</v>
      </c>
      <c r="C2041" s="87" t="s">
        <v>191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894</v>
      </c>
      <c r="H2041" s="105" t="s">
        <v>193</v>
      </c>
      <c r="I2041" s="105" t="s">
        <v>1233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137</v>
      </c>
      <c r="AA2041" s="79"/>
    </row>
    <row r="2042" spans="1:27">
      <c r="A2042" s="88" t="s">
        <v>1232</v>
      </c>
      <c r="B2042" s="83" t="str">
        <f t="shared" si="499"/>
        <v>ADV_HOHO_ZENKI</v>
      </c>
      <c r="C2042" s="87" t="s">
        <v>191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894</v>
      </c>
      <c r="H2042" s="105" t="s">
        <v>193</v>
      </c>
      <c r="I2042" s="105" t="s">
        <v>1231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137</v>
      </c>
      <c r="AA2042" s="79"/>
    </row>
    <row r="2043" spans="1:27">
      <c r="A2043" s="88" t="s">
        <v>1230</v>
      </c>
      <c r="B2043" s="83" t="str">
        <f t="shared" si="499"/>
        <v>ADV_HOHO_NASHI</v>
      </c>
      <c r="C2043" s="87" t="s">
        <v>191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894</v>
      </c>
      <c r="H2043" s="105" t="s">
        <v>193</v>
      </c>
      <c r="I2043" s="105" t="s">
        <v>340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137</v>
      </c>
      <c r="AA2043" s="79"/>
    </row>
    <row r="2044" spans="1:27">
      <c r="A2044" s="88" t="s">
        <v>1229</v>
      </c>
      <c r="B2044" s="83" t="str">
        <f t="shared" si="499"/>
        <v>ZOKUGARA_HONNIN</v>
      </c>
      <c r="C2044" s="87" t="s">
        <v>191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893</v>
      </c>
      <c r="H2044" s="105" t="s">
        <v>875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137</v>
      </c>
      <c r="AA2044" s="79"/>
    </row>
    <row r="2045" spans="1:27">
      <c r="A2045" s="88" t="s">
        <v>1228</v>
      </c>
      <c r="B2045" s="83" t="str">
        <f t="shared" si="499"/>
        <v>ZOKUGARA_SPOUSE</v>
      </c>
      <c r="C2045" s="87" t="s">
        <v>191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893</v>
      </c>
      <c r="H2045" s="105" t="s">
        <v>1227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137</v>
      </c>
      <c r="AA2045" s="79"/>
    </row>
    <row r="2046" spans="1:27">
      <c r="A2046" s="88" t="s">
        <v>1226</v>
      </c>
      <c r="B2046" s="83" t="str">
        <f t="shared" si="499"/>
        <v>ZOKUGARA_PARENT</v>
      </c>
      <c r="C2046" s="87" t="s">
        <v>191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893</v>
      </c>
      <c r="H2046" s="105" t="s">
        <v>1225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137</v>
      </c>
      <c r="AA2046" s="79"/>
    </row>
    <row r="2047" spans="1:27">
      <c r="A2047" s="88" t="s">
        <v>1224</v>
      </c>
      <c r="B2047" s="83" t="str">
        <f t="shared" si="499"/>
        <v>ZOKUGARA_CHILD</v>
      </c>
      <c r="C2047" s="87" t="s">
        <v>191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893</v>
      </c>
      <c r="H2047" s="105" t="s">
        <v>1223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137</v>
      </c>
      <c r="AA2047" s="79"/>
    </row>
    <row r="2048" spans="1:27">
      <c r="A2048" s="88" t="s">
        <v>1222</v>
      </c>
      <c r="B2048" s="83" t="str">
        <f t="shared" si="499"/>
        <v>ZOKUGARA_SIBLING</v>
      </c>
      <c r="C2048" s="87" t="s">
        <v>191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893</v>
      </c>
      <c r="H2048" s="105" t="s">
        <v>1221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137</v>
      </c>
      <c r="AA2048" s="79"/>
    </row>
    <row r="2049" spans="1:27">
      <c r="A2049" s="88" t="s">
        <v>1220</v>
      </c>
      <c r="B2049" s="83" t="str">
        <f t="shared" si="499"/>
        <v>ZOKUGARA_GRAND</v>
      </c>
      <c r="C2049" s="87" t="s">
        <v>191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893</v>
      </c>
      <c r="H2049" s="105" t="s">
        <v>1219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137</v>
      </c>
      <c r="AA2049" s="79"/>
    </row>
    <row r="2050" spans="1:27">
      <c r="A2050" s="88" t="s">
        <v>1218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191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893</v>
      </c>
      <c r="H2050" s="105" t="s">
        <v>291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137</v>
      </c>
      <c r="AA2050" s="79"/>
    </row>
    <row r="2051" spans="1:27">
      <c r="A2051" s="88" t="s">
        <v>1217</v>
      </c>
      <c r="B2051" s="83" t="str">
        <f t="shared" si="515"/>
        <v>ZOKUGARA_OTHER</v>
      </c>
      <c r="C2051" s="87" t="s">
        <v>191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893</v>
      </c>
      <c r="H2051" s="105" t="s">
        <v>207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137</v>
      </c>
      <c r="AA2051" s="79"/>
    </row>
    <row r="2052" spans="1:27">
      <c r="A2052" s="88" t="s">
        <v>1216</v>
      </c>
      <c r="B2052" s="83" t="str">
        <f t="shared" si="515"/>
        <v>ZOKUGARA_PLCYHLDR</v>
      </c>
      <c r="C2052" s="87" t="s">
        <v>191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893</v>
      </c>
      <c r="H2052" s="105" t="s">
        <v>1123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137</v>
      </c>
      <c r="AA2052" s="79"/>
    </row>
    <row r="2053" spans="1:27">
      <c r="A2053" s="88" t="s">
        <v>1215</v>
      </c>
      <c r="B2053" s="83" t="str">
        <f t="shared" si="515"/>
        <v>SELECT_HOHO_DOCTOR</v>
      </c>
      <c r="C2053" s="87" t="s">
        <v>191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857</v>
      </c>
      <c r="H2053" s="105" t="s">
        <v>193</v>
      </c>
      <c r="I2053" s="105" t="s">
        <v>1214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137</v>
      </c>
      <c r="AA2053" s="79"/>
    </row>
    <row r="2054" spans="1:27">
      <c r="A2054" s="88" t="s">
        <v>1213</v>
      </c>
      <c r="B2054" s="83" t="str">
        <f t="shared" si="515"/>
        <v>SELECT_HOHO_CHECKUP</v>
      </c>
      <c r="C2054" s="87" t="s">
        <v>191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857</v>
      </c>
      <c r="H2054" s="105" t="s">
        <v>193</v>
      </c>
      <c r="I2054" s="105" t="s">
        <v>1212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137</v>
      </c>
      <c r="AA2054" s="79"/>
    </row>
    <row r="2055" spans="1:27">
      <c r="A2055" s="88" t="s">
        <v>1211</v>
      </c>
      <c r="B2055" s="83" t="str">
        <f t="shared" si="515"/>
        <v>SELECT_HOHO_KOKUCHISHO</v>
      </c>
      <c r="C2055" s="87" t="s">
        <v>191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857</v>
      </c>
      <c r="H2055" s="105" t="s">
        <v>193</v>
      </c>
      <c r="I2055" s="105" t="s">
        <v>1210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137</v>
      </c>
      <c r="AA2055" s="79"/>
    </row>
    <row r="2056" spans="1:27">
      <c r="A2056" s="88" t="s">
        <v>1209</v>
      </c>
      <c r="B2056" s="83" t="str">
        <f t="shared" si="515"/>
        <v>SELECT_HOHO_CNV</v>
      </c>
      <c r="C2056" s="87" t="s">
        <v>191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857</v>
      </c>
      <c r="H2056" s="105" t="s">
        <v>193</v>
      </c>
      <c r="I2056" s="105" t="s">
        <v>1190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137</v>
      </c>
      <c r="AA2056" s="79"/>
    </row>
    <row r="2057" spans="1:27">
      <c r="A2057" s="88" t="s">
        <v>1208</v>
      </c>
      <c r="B2057" s="83" t="str">
        <f t="shared" si="515"/>
        <v>SELECT_HOHO_NINGENDOKKU</v>
      </c>
      <c r="C2057" s="87" t="s">
        <v>191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857</v>
      </c>
      <c r="H2057" s="105" t="s">
        <v>193</v>
      </c>
      <c r="I2057" s="105" t="s">
        <v>1207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137</v>
      </c>
      <c r="AA2057" s="79"/>
    </row>
    <row r="2058" spans="1:27">
      <c r="A2058" s="88" t="s">
        <v>1206</v>
      </c>
      <c r="B2058" s="83" t="str">
        <f t="shared" si="515"/>
        <v>PLCY_KB_N_PLCY</v>
      </c>
      <c r="C2058" s="87" t="s">
        <v>191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298</v>
      </c>
      <c r="H2058" s="105" t="s">
        <v>177</v>
      </c>
      <c r="I2058" s="105" t="s">
        <v>839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137</v>
      </c>
      <c r="AA2058" s="79"/>
    </row>
    <row r="2059" spans="1:27">
      <c r="A2059" s="88" t="s">
        <v>1205</v>
      </c>
      <c r="B2059" s="83" t="str">
        <f t="shared" si="515"/>
        <v>PLCY_KB_CV</v>
      </c>
      <c r="C2059" s="87" t="s">
        <v>191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298</v>
      </c>
      <c r="H2059" s="105" t="s">
        <v>177</v>
      </c>
      <c r="I2059" s="105" t="s">
        <v>1042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137</v>
      </c>
      <c r="AA2059" s="79"/>
    </row>
    <row r="2060" spans="1:27">
      <c r="A2060" s="88" t="s">
        <v>1204</v>
      </c>
      <c r="B2060" s="83" t="str">
        <f t="shared" si="515"/>
        <v>PLCY_KB_KOJIN_CNV</v>
      </c>
      <c r="C2060" s="87" t="s">
        <v>191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298</v>
      </c>
      <c r="H2060" s="105" t="s">
        <v>177</v>
      </c>
      <c r="I2060" s="105" t="s">
        <v>1105</v>
      </c>
      <c r="J2060" s="103" t="s">
        <v>1190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137</v>
      </c>
      <c r="AA2060" s="79"/>
    </row>
    <row r="2061" spans="1:27">
      <c r="A2061" s="88" t="s">
        <v>1203</v>
      </c>
      <c r="B2061" s="83" t="str">
        <f t="shared" si="515"/>
        <v>PLCY_KB_GROUP_CNV</v>
      </c>
      <c r="C2061" s="87" t="s">
        <v>191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298</v>
      </c>
      <c r="H2061" s="105" t="s">
        <v>177</v>
      </c>
      <c r="I2061" s="105" t="s">
        <v>143</v>
      </c>
      <c r="J2061" s="103" t="s">
        <v>1190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137</v>
      </c>
      <c r="AA2061" s="79"/>
    </row>
    <row r="2062" spans="1:27">
      <c r="A2062" s="88" t="s">
        <v>1202</v>
      </c>
      <c r="B2062" s="83" t="str">
        <f t="shared" si="515"/>
        <v>PLCY_KB_MANKI</v>
      </c>
      <c r="C2062" s="87" t="s">
        <v>191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298</v>
      </c>
      <c r="H2062" s="105" t="s">
        <v>177</v>
      </c>
      <c r="I2062" s="105" t="s">
        <v>1196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137</v>
      </c>
      <c r="AA2062" s="79"/>
    </row>
    <row r="2063" spans="1:27">
      <c r="A2063" s="88" t="s">
        <v>1201</v>
      </c>
      <c r="B2063" s="83" t="str">
        <f t="shared" si="515"/>
        <v>PLCY_KB_IKO</v>
      </c>
      <c r="C2063" s="87" t="s">
        <v>191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298</v>
      </c>
      <c r="H2063" s="105" t="s">
        <v>177</v>
      </c>
      <c r="I2063" s="105" t="s">
        <v>1200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565</v>
      </c>
      <c r="AA2063" s="79"/>
    </row>
    <row r="2064" spans="1:27">
      <c r="A2064" s="88" t="s">
        <v>1199</v>
      </c>
      <c r="B2064" s="83" t="str">
        <f t="shared" si="515"/>
        <v>OFFER_KEIRO_SUB_SHINKI</v>
      </c>
      <c r="C2064" s="87" t="s">
        <v>1186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199</v>
      </c>
      <c r="H2064" s="105" t="s">
        <v>198</v>
      </c>
      <c r="I2064" s="105" t="s">
        <v>563</v>
      </c>
      <c r="J2064" s="105" t="s">
        <v>1143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565</v>
      </c>
      <c r="AA2064" s="79"/>
    </row>
    <row r="2065" spans="1:27">
      <c r="A2065" s="88" t="s">
        <v>1198</v>
      </c>
      <c r="B2065" s="83" t="str">
        <f t="shared" si="515"/>
        <v>OFFER_KEIRO_SUB_ADD</v>
      </c>
      <c r="C2065" s="87" t="s">
        <v>1186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199</v>
      </c>
      <c r="H2065" s="105" t="s">
        <v>198</v>
      </c>
      <c r="I2065" s="105" t="s">
        <v>563</v>
      </c>
      <c r="J2065" s="105" t="s">
        <v>1145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565</v>
      </c>
      <c r="AA2065" s="79"/>
    </row>
    <row r="2066" spans="1:27">
      <c r="A2066" s="88" t="s">
        <v>1197</v>
      </c>
      <c r="B2066" s="83" t="str">
        <f t="shared" si="515"/>
        <v>OFFER_KEIRO_SUB_MANKI</v>
      </c>
      <c r="C2066" s="87" t="s">
        <v>1186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199</v>
      </c>
      <c r="H2066" s="105" t="s">
        <v>198</v>
      </c>
      <c r="I2066" s="105" t="s">
        <v>563</v>
      </c>
      <c r="J2066" s="105" t="s">
        <v>1196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565</v>
      </c>
      <c r="AA2066" s="79"/>
    </row>
    <row r="2067" spans="1:27">
      <c r="A2067" s="88" t="s">
        <v>1195</v>
      </c>
      <c r="B2067" s="83" t="str">
        <f t="shared" si="515"/>
        <v>OFFER_KEIRO_SUB_SHIBO</v>
      </c>
      <c r="C2067" s="87" t="s">
        <v>1186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199</v>
      </c>
      <c r="H2067" s="105" t="s">
        <v>198</v>
      </c>
      <c r="I2067" s="105" t="s">
        <v>563</v>
      </c>
      <c r="J2067" s="105" t="s">
        <v>1194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565</v>
      </c>
      <c r="AA2067" s="79"/>
    </row>
    <row r="2068" spans="1:27">
      <c r="A2068" s="88" t="s">
        <v>1193</v>
      </c>
      <c r="B2068" s="83" t="str">
        <f t="shared" si="515"/>
        <v>OFFER_KEIRO_SUB_SHITADORI</v>
      </c>
      <c r="C2068" s="87" t="s">
        <v>1186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199</v>
      </c>
      <c r="H2068" s="105" t="s">
        <v>198</v>
      </c>
      <c r="I2068" s="105" t="s">
        <v>563</v>
      </c>
      <c r="J2068" s="105" t="s">
        <v>1192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565</v>
      </c>
      <c r="AA2068" s="79"/>
    </row>
    <row r="2069" spans="1:27">
      <c r="A2069" s="88" t="s">
        <v>1191</v>
      </c>
      <c r="B2069" s="83" t="str">
        <f t="shared" si="515"/>
        <v>OFFER_KEIRO_SUB_CNV</v>
      </c>
      <c r="C2069" s="87" t="s">
        <v>1186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199</v>
      </c>
      <c r="H2069" s="105" t="s">
        <v>198</v>
      </c>
      <c r="I2069" s="105" t="s">
        <v>563</v>
      </c>
      <c r="J2069" s="105" t="s">
        <v>1190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565</v>
      </c>
      <c r="AA2069" s="79"/>
    </row>
    <row r="2070" spans="1:27">
      <c r="A2070" s="88" t="s">
        <v>1189</v>
      </c>
      <c r="B2070" s="83" t="str">
        <f t="shared" si="515"/>
        <v>OFFER_KEIRO_SUB_UPDATE</v>
      </c>
      <c r="C2070" s="87" t="s">
        <v>1186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199</v>
      </c>
      <c r="H2070" s="105" t="s">
        <v>198</v>
      </c>
      <c r="I2070" s="105" t="s">
        <v>563</v>
      </c>
      <c r="J2070" s="105" t="s">
        <v>769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565</v>
      </c>
      <c r="AA2070" s="79"/>
    </row>
    <row r="2071" spans="1:27">
      <c r="A2071" s="88" t="s">
        <v>1188</v>
      </c>
      <c r="B2071" s="83" t="str">
        <f t="shared" si="515"/>
        <v>OFFER_KEIRO_SUB_CHOKUSETSU</v>
      </c>
      <c r="C2071" s="87" t="s">
        <v>1186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199</v>
      </c>
      <c r="H2071" s="105" t="s">
        <v>198</v>
      </c>
      <c r="I2071" s="105" t="s">
        <v>563</v>
      </c>
      <c r="J2071" s="105" t="s">
        <v>1137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565</v>
      </c>
      <c r="AA2071" s="79"/>
    </row>
    <row r="2072" spans="1:27">
      <c r="A2072" s="88" t="s">
        <v>1187</v>
      </c>
      <c r="B2072" s="83" t="str">
        <f t="shared" si="515"/>
        <v>OFFER_KEIRO_SUB_KOKOKU</v>
      </c>
      <c r="C2072" s="87" t="s">
        <v>1186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199</v>
      </c>
      <c r="H2072" s="105" t="s">
        <v>198</v>
      </c>
      <c r="I2072" s="105" t="s">
        <v>563</v>
      </c>
      <c r="J2072" s="105" t="s">
        <v>1185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137</v>
      </c>
      <c r="AA2072" s="79"/>
    </row>
    <row r="2073" spans="1:27">
      <c r="A2073" s="88" t="s">
        <v>1184</v>
      </c>
      <c r="B2073" s="83" t="str">
        <f t="shared" si="515"/>
        <v>HARAIKOMI_KEIRO_SHUKIN</v>
      </c>
      <c r="C2073" s="87" t="s">
        <v>191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349</v>
      </c>
      <c r="H2073" s="105" t="s">
        <v>198</v>
      </c>
      <c r="I2073" s="105" t="s">
        <v>1183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137</v>
      </c>
      <c r="AA2073" s="79"/>
    </row>
    <row r="2074" spans="1:27">
      <c r="A2074" s="88" t="s">
        <v>1182</v>
      </c>
      <c r="B2074" s="83" t="str">
        <f t="shared" si="515"/>
        <v>HARAIKOMI_KEIRO_KOZA</v>
      </c>
      <c r="C2074" s="87" t="s">
        <v>191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349</v>
      </c>
      <c r="H2074" s="105" t="s">
        <v>198</v>
      </c>
      <c r="I2074" s="105" t="s">
        <v>1181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137</v>
      </c>
      <c r="AA2074" s="79"/>
    </row>
    <row r="2075" spans="1:27">
      <c r="A2075" s="88" t="s">
        <v>1180</v>
      </c>
      <c r="B2075" s="83" t="str">
        <f t="shared" si="515"/>
        <v>HARAIKOMI_KEIRO_GROUP</v>
      </c>
      <c r="C2075" s="87" t="s">
        <v>191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349</v>
      </c>
      <c r="H2075" s="105" t="s">
        <v>198</v>
      </c>
      <c r="I2075" s="105" t="s">
        <v>143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137</v>
      </c>
      <c r="AA2075" s="79"/>
    </row>
    <row r="2076" spans="1:27">
      <c r="A2076" s="88" t="s">
        <v>1179</v>
      </c>
      <c r="B2076" s="83" t="str">
        <f t="shared" si="515"/>
        <v>HARAIKOMI_KEIRO_SOKIN</v>
      </c>
      <c r="C2076" s="87" t="s">
        <v>191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349</v>
      </c>
      <c r="H2076" s="105" t="s">
        <v>198</v>
      </c>
      <c r="I2076" s="105" t="s">
        <v>1178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137</v>
      </c>
      <c r="AA2076" s="79"/>
    </row>
    <row r="2077" spans="1:27">
      <c r="A2077" s="88" t="s">
        <v>1177</v>
      </c>
      <c r="B2077" s="83" t="str">
        <f t="shared" si="515"/>
        <v>JIKO_PLCY_SALES_FA</v>
      </c>
      <c r="C2077" s="87" t="s">
        <v>191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1168</v>
      </c>
      <c r="H2077" s="105" t="s">
        <v>298</v>
      </c>
      <c r="I2077" s="105" t="s">
        <v>700</v>
      </c>
      <c r="J2077" s="105" t="s">
        <v>705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137</v>
      </c>
      <c r="AA2077" s="79"/>
    </row>
    <row r="2078" spans="1:27">
      <c r="A2078" s="88" t="s">
        <v>1176</v>
      </c>
      <c r="B2078" s="83" t="str">
        <f t="shared" si="515"/>
        <v>JIKO_PLCY_KOJIN_AGENCY</v>
      </c>
      <c r="C2078" s="87" t="s">
        <v>191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1168</v>
      </c>
      <c r="H2078" s="105" t="s">
        <v>298</v>
      </c>
      <c r="I2078" s="105" t="s">
        <v>1105</v>
      </c>
      <c r="J2078" s="105" t="s">
        <v>1174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137</v>
      </c>
      <c r="AA2078" s="79"/>
    </row>
    <row r="2079" spans="1:27">
      <c r="A2079" s="88" t="s">
        <v>1175</v>
      </c>
      <c r="B2079" s="83" t="str">
        <f t="shared" si="515"/>
        <v>JIKO_PLCY_CORP_AGENCY</v>
      </c>
      <c r="C2079" s="87" t="s">
        <v>191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1168</v>
      </c>
      <c r="H2079" s="105" t="s">
        <v>298</v>
      </c>
      <c r="I2079" s="105" t="s">
        <v>291</v>
      </c>
      <c r="J2079" s="105" t="s">
        <v>1174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137</v>
      </c>
      <c r="AA2079" s="79"/>
    </row>
    <row r="2080" spans="1:27">
      <c r="A2080" s="88" t="s">
        <v>1173</v>
      </c>
      <c r="B2080" s="83" t="str">
        <f t="shared" si="515"/>
        <v>JIKO_PLCY_TOKUTEI_CORP</v>
      </c>
      <c r="C2080" s="87" t="s">
        <v>191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1168</v>
      </c>
      <c r="H2080" s="105" t="s">
        <v>298</v>
      </c>
      <c r="I2080" s="105" t="s">
        <v>1172</v>
      </c>
      <c r="J2080" s="105" t="s">
        <v>291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137</v>
      </c>
      <c r="AA2080" s="79"/>
    </row>
    <row r="2081" spans="1:27">
      <c r="A2081" s="88" t="s">
        <v>1171</v>
      </c>
      <c r="B2081" s="83" t="str">
        <f t="shared" si="515"/>
        <v>JIKO_PLCY_KOSEIN</v>
      </c>
      <c r="C2081" s="87" t="s">
        <v>191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1168</v>
      </c>
      <c r="H2081" s="105" t="s">
        <v>298</v>
      </c>
      <c r="I2081" s="105" t="s">
        <v>1170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137</v>
      </c>
      <c r="AA2081" s="79"/>
    </row>
    <row r="2082" spans="1:27">
      <c r="A2082" s="88" t="s">
        <v>1169</v>
      </c>
      <c r="B2082" s="83" t="str">
        <f t="shared" si="515"/>
        <v>JIKO_PLCY_OTHER</v>
      </c>
      <c r="C2082" s="87" t="s">
        <v>191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1168</v>
      </c>
      <c r="H2082" s="105" t="s">
        <v>298</v>
      </c>
      <c r="I2082" s="105" t="s">
        <v>207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137</v>
      </c>
      <c r="AA2082" s="79"/>
    </row>
    <row r="2083" spans="1:27">
      <c r="A2083" s="88" t="s">
        <v>1167</v>
      </c>
      <c r="B2083" s="83" t="str">
        <f t="shared" si="515"/>
        <v>NAIKIMBOSHU_HONSHA</v>
      </c>
      <c r="C2083" s="87" t="s">
        <v>191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887</v>
      </c>
      <c r="H2083" s="105" t="s">
        <v>1166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137</v>
      </c>
      <c r="AA2083" s="79"/>
    </row>
    <row r="2084" spans="1:27">
      <c r="A2084" s="88" t="s">
        <v>1165</v>
      </c>
      <c r="B2084" s="83" t="str">
        <f t="shared" si="515"/>
        <v>NAIKIMBOSHU_SALES</v>
      </c>
      <c r="C2084" s="87" t="s">
        <v>191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887</v>
      </c>
      <c r="H2084" s="105" t="s">
        <v>700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137</v>
      </c>
      <c r="AA2084" s="79"/>
    </row>
    <row r="2085" spans="1:27">
      <c r="A2085" s="88" t="s">
        <v>1164</v>
      </c>
      <c r="B2085" s="83" t="str">
        <f t="shared" si="515"/>
        <v>HONNIN_PLCY_SUB_HONSHA_NAIKIN</v>
      </c>
      <c r="C2085" s="87" t="s">
        <v>191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875</v>
      </c>
      <c r="H2085" s="105" t="s">
        <v>298</v>
      </c>
      <c r="I2085" s="105" t="s">
        <v>882</v>
      </c>
      <c r="J2085" s="105" t="s">
        <v>1163</v>
      </c>
      <c r="K2085" s="103" t="s">
        <v>709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137</v>
      </c>
      <c r="AA2085" s="79"/>
    </row>
    <row r="2086" spans="1:27">
      <c r="A2086" s="88" t="s">
        <v>1162</v>
      </c>
      <c r="B2086" s="83" t="str">
        <f t="shared" si="515"/>
        <v>HONNIN_PLCY_SUB_SALES_NAIKIN</v>
      </c>
      <c r="C2086" s="87" t="s">
        <v>191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875</v>
      </c>
      <c r="H2086" s="105" t="s">
        <v>298</v>
      </c>
      <c r="I2086" s="105" t="s">
        <v>882</v>
      </c>
      <c r="J2086" s="105" t="s">
        <v>700</v>
      </c>
      <c r="K2086" s="103" t="s">
        <v>709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137</v>
      </c>
      <c r="AA2086" s="79"/>
    </row>
    <row r="2087" spans="1:27">
      <c r="A2087" s="88" t="s">
        <v>1161</v>
      </c>
      <c r="B2087" s="83" t="str">
        <f t="shared" si="515"/>
        <v>HONNIN_PLCY_SUB_CCI_SALES</v>
      </c>
      <c r="C2087" s="87" t="s">
        <v>191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875</v>
      </c>
      <c r="H2087" s="105" t="s">
        <v>298</v>
      </c>
      <c r="I2087" s="105" t="s">
        <v>882</v>
      </c>
      <c r="J2087" s="105" t="s">
        <v>707</v>
      </c>
      <c r="K2087" s="103" t="s">
        <v>700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137</v>
      </c>
      <c r="AA2087" s="79"/>
    </row>
    <row r="2088" spans="1:27">
      <c r="A2088" s="88" t="s">
        <v>1160</v>
      </c>
      <c r="B2088" s="83" t="str">
        <f t="shared" si="515"/>
        <v>HONNIN_PLCY_SUB_FA_SHOKUIN</v>
      </c>
      <c r="C2088" s="87" t="s">
        <v>191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875</v>
      </c>
      <c r="H2088" s="105" t="s">
        <v>298</v>
      </c>
      <c r="I2088" s="105" t="s">
        <v>882</v>
      </c>
      <c r="J2088" s="105" t="s">
        <v>705</v>
      </c>
      <c r="K2088" s="103" t="s">
        <v>1159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137</v>
      </c>
      <c r="AA2088" s="79"/>
    </row>
    <row r="2089" spans="1:27">
      <c r="A2089" s="88" t="s">
        <v>1158</v>
      </c>
      <c r="B2089" s="83" t="str">
        <f t="shared" si="515"/>
        <v>STAFF_PLCY_SUB_SALES_KISOI</v>
      </c>
      <c r="C2089" s="87" t="s">
        <v>191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883</v>
      </c>
      <c r="H2089" s="105" t="s">
        <v>298</v>
      </c>
      <c r="I2089" s="105" t="s">
        <v>882</v>
      </c>
      <c r="J2089" s="103" t="s">
        <v>700</v>
      </c>
      <c r="K2089" s="105" t="s">
        <v>1157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137</v>
      </c>
      <c r="AA2089" s="79"/>
    </row>
    <row r="2090" spans="1:27">
      <c r="A2090" s="88" t="s">
        <v>1156</v>
      </c>
      <c r="B2090" s="83" t="str">
        <f t="shared" si="515"/>
        <v>STAFF_PLCY_SUB_SALES_FA</v>
      </c>
      <c r="C2090" s="87" t="s">
        <v>191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883</v>
      </c>
      <c r="H2090" s="105" t="s">
        <v>298</v>
      </c>
      <c r="I2090" s="105" t="s">
        <v>882</v>
      </c>
      <c r="J2090" s="103" t="s">
        <v>700</v>
      </c>
      <c r="K2090" s="105" t="s">
        <v>705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137</v>
      </c>
      <c r="AA2090" s="79"/>
    </row>
    <row r="2091" spans="1:27">
      <c r="A2091" s="88" t="s">
        <v>1155</v>
      </c>
      <c r="B2091" s="83" t="str">
        <f t="shared" si="515"/>
        <v>STAFF_PLCY_SUB_NAIKIN</v>
      </c>
      <c r="C2091" s="87" t="s">
        <v>191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883</v>
      </c>
      <c r="H2091" s="105" t="s">
        <v>298</v>
      </c>
      <c r="I2091" s="105" t="s">
        <v>882</v>
      </c>
      <c r="J2091" s="105" t="s">
        <v>709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137</v>
      </c>
      <c r="AA2091" s="79"/>
    </row>
    <row r="2092" spans="1:27">
      <c r="A2092" s="88" t="s">
        <v>1154</v>
      </c>
      <c r="B2092" s="83" t="str">
        <f t="shared" si="515"/>
        <v>CCI_MBR_KB_CCI</v>
      </c>
      <c r="C2092" s="87" t="s">
        <v>191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255</v>
      </c>
      <c r="H2092" s="105" t="s">
        <v>1150</v>
      </c>
      <c r="I2092" s="105" t="s">
        <v>177</v>
      </c>
      <c r="J2092" s="105" t="s">
        <v>707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137</v>
      </c>
      <c r="AA2092" s="79"/>
    </row>
    <row r="2093" spans="1:27">
      <c r="A2093" s="88" t="s">
        <v>1153</v>
      </c>
      <c r="B2093" s="83" t="str">
        <f t="shared" si="515"/>
        <v>CCI_MBR_KB_OTHER</v>
      </c>
      <c r="C2093" s="87" t="s">
        <v>191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255</v>
      </c>
      <c r="H2093" s="105" t="s">
        <v>1150</v>
      </c>
      <c r="I2093" s="105" t="s">
        <v>177</v>
      </c>
      <c r="J2093" s="105" t="s">
        <v>1152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137</v>
      </c>
      <c r="AA2093" s="79"/>
    </row>
    <row r="2094" spans="1:27">
      <c r="A2094" s="88" t="s">
        <v>1151</v>
      </c>
      <c r="B2094" s="83" t="str">
        <f t="shared" si="515"/>
        <v>CCI_MBR_KB_AGENCY</v>
      </c>
      <c r="C2094" s="87" t="s">
        <v>191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255</v>
      </c>
      <c r="H2094" s="105" t="s">
        <v>1150</v>
      </c>
      <c r="I2094" s="105" t="s">
        <v>177</v>
      </c>
      <c r="J2094" s="105" t="s">
        <v>701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137</v>
      </c>
      <c r="AA2094" s="79"/>
    </row>
    <row r="2095" spans="1:27">
      <c r="A2095" s="88" t="s">
        <v>1149</v>
      </c>
      <c r="B2095" s="83" t="str">
        <f t="shared" si="515"/>
        <v>OFFER_KEIRO_TORIHO_FAMILY</v>
      </c>
      <c r="C2095" s="87" t="s">
        <v>191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199</v>
      </c>
      <c r="H2095" s="105" t="s">
        <v>198</v>
      </c>
      <c r="I2095" s="105" t="s">
        <v>889</v>
      </c>
      <c r="J2095" s="105" t="s">
        <v>1134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137</v>
      </c>
      <c r="AA2095" s="79"/>
    </row>
    <row r="2096" spans="1:27">
      <c r="A2096" s="88" t="s">
        <v>1148</v>
      </c>
      <c r="B2096" s="83" t="str">
        <f t="shared" si="515"/>
        <v>OFFER_KEIRO_TORIHO_FRIEND</v>
      </c>
      <c r="C2096" s="87" t="s">
        <v>191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199</v>
      </c>
      <c r="H2096" s="105" t="s">
        <v>198</v>
      </c>
      <c r="I2096" s="105" t="s">
        <v>889</v>
      </c>
      <c r="J2096" s="105" t="s">
        <v>1147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137</v>
      </c>
      <c r="AA2096" s="79"/>
    </row>
    <row r="2097" spans="1:27">
      <c r="A2097" s="88" t="s">
        <v>1146</v>
      </c>
      <c r="B2097" s="83" t="str">
        <f t="shared" si="515"/>
        <v>OFFER_KEIRO_TORIHO_ADD</v>
      </c>
      <c r="C2097" s="87" t="s">
        <v>191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199</v>
      </c>
      <c r="H2097" s="105" t="s">
        <v>198</v>
      </c>
      <c r="I2097" s="105" t="s">
        <v>889</v>
      </c>
      <c r="J2097" s="105" t="s">
        <v>1145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137</v>
      </c>
      <c r="AA2097" s="79"/>
    </row>
    <row r="2098" spans="1:27">
      <c r="A2098" s="88" t="s">
        <v>1144</v>
      </c>
      <c r="B2098" s="83" t="str">
        <f t="shared" si="515"/>
        <v>OFFER_KEIRO_TORIHO_SHINKI</v>
      </c>
      <c r="C2098" s="87" t="s">
        <v>191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199</v>
      </c>
      <c r="H2098" s="105" t="s">
        <v>198</v>
      </c>
      <c r="I2098" s="105" t="s">
        <v>889</v>
      </c>
      <c r="J2098" s="105" t="s">
        <v>1143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137</v>
      </c>
      <c r="AA2098" s="79"/>
    </row>
    <row r="2099" spans="1:27">
      <c r="A2099" s="88" t="s">
        <v>1142</v>
      </c>
      <c r="B2099" s="83" t="str">
        <f t="shared" si="515"/>
        <v>OFFER_KEIRO_TORIHO_SHOKAI</v>
      </c>
      <c r="C2099" s="87" t="s">
        <v>191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199</v>
      </c>
      <c r="H2099" s="105" t="s">
        <v>198</v>
      </c>
      <c r="I2099" s="105" t="s">
        <v>889</v>
      </c>
      <c r="J2099" s="105" t="s">
        <v>1141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137</v>
      </c>
      <c r="AA2099" s="79"/>
    </row>
    <row r="2100" spans="1:27">
      <c r="A2100" s="88" t="s">
        <v>1140</v>
      </c>
      <c r="B2100" s="83" t="str">
        <f t="shared" si="515"/>
        <v>OFFER_KEIRO_TORIHO_TOBIKOMI</v>
      </c>
      <c r="C2100" s="87" t="s">
        <v>191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199</v>
      </c>
      <c r="H2100" s="105" t="s">
        <v>198</v>
      </c>
      <c r="I2100" s="105" t="s">
        <v>889</v>
      </c>
      <c r="J2100" s="105" t="s">
        <v>1139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137</v>
      </c>
      <c r="AA2100" s="79"/>
    </row>
    <row r="2101" spans="1:27">
      <c r="A2101" s="88" t="s">
        <v>1138</v>
      </c>
      <c r="B2101" s="83" t="str">
        <f t="shared" si="515"/>
        <v>OFFER_KEIRO_TORIHO_CHOKUSETSU</v>
      </c>
      <c r="C2101" s="87" t="s">
        <v>191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199</v>
      </c>
      <c r="H2101" s="105" t="s">
        <v>198</v>
      </c>
      <c r="I2101" s="105" t="s">
        <v>889</v>
      </c>
      <c r="J2101" s="105" t="s">
        <v>1137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137</v>
      </c>
      <c r="AA2101" s="79"/>
    </row>
    <row r="2102" spans="1:27">
      <c r="A2102" s="88" t="s">
        <v>1136</v>
      </c>
      <c r="B2102" s="83" t="str">
        <f t="shared" si="515"/>
        <v>OFFER_KEIRO_TORIHO_OTHER</v>
      </c>
      <c r="C2102" s="87" t="s">
        <v>191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199</v>
      </c>
      <c r="H2102" s="105" t="s">
        <v>198</v>
      </c>
      <c r="I2102" s="105" t="s">
        <v>889</v>
      </c>
      <c r="J2102" s="105" t="s">
        <v>496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137</v>
      </c>
      <c r="AA2102" s="79"/>
    </row>
    <row r="2103" spans="1:27">
      <c r="A2103" s="88" t="s">
        <v>1135</v>
      </c>
      <c r="B2103" s="83" t="str">
        <f t="shared" si="515"/>
        <v>KANYU_MOKUTEKI_FAMILY</v>
      </c>
      <c r="C2103" s="87" t="s">
        <v>191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202</v>
      </c>
      <c r="H2103" s="105" t="s">
        <v>236</v>
      </c>
      <c r="I2103" s="105" t="s">
        <v>1134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137</v>
      </c>
      <c r="AA2103" s="79"/>
    </row>
    <row r="2104" spans="1:27">
      <c r="A2104" s="88" t="s">
        <v>1133</v>
      </c>
      <c r="B2104" s="83" t="str">
        <f t="shared" si="515"/>
        <v>KANYU_MOKUTEKI_ROGO</v>
      </c>
      <c r="C2104" s="87" t="s">
        <v>191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202</v>
      </c>
      <c r="H2104" s="105" t="s">
        <v>236</v>
      </c>
      <c r="I2104" s="105" t="s">
        <v>1132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137</v>
      </c>
      <c r="AA2104" s="79"/>
    </row>
    <row r="2105" spans="1:27">
      <c r="A2105" s="88" t="s">
        <v>1131</v>
      </c>
      <c r="B2105" s="83" t="str">
        <f t="shared" si="515"/>
        <v>KANYU_MOKUTEKI_SOZOKU</v>
      </c>
      <c r="C2105" s="87" t="s">
        <v>191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202</v>
      </c>
      <c r="H2105" s="105" t="s">
        <v>236</v>
      </c>
      <c r="I2105" s="105" t="s">
        <v>1130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137</v>
      </c>
      <c r="AA2105" s="79"/>
    </row>
    <row r="2106" spans="1:27">
      <c r="A2106" s="88" t="s">
        <v>1129</v>
      </c>
      <c r="B2106" s="83" t="str">
        <f t="shared" si="515"/>
        <v>KANYU_MOKUTEKI_KEIEI</v>
      </c>
      <c r="C2106" s="87" t="s">
        <v>191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202</v>
      </c>
      <c r="H2106" s="105" t="s">
        <v>236</v>
      </c>
      <c r="I2106" s="105" t="s">
        <v>1128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137</v>
      </c>
      <c r="AA2106" s="79"/>
    </row>
    <row r="2107" spans="1:27">
      <c r="A2107" s="88" t="s">
        <v>1127</v>
      </c>
      <c r="B2107" s="83" t="str">
        <f t="shared" si="515"/>
        <v>KANYU_MOKUTEKI_JIGYO</v>
      </c>
      <c r="C2107" s="87" t="s">
        <v>191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202</v>
      </c>
      <c r="H2107" s="105" t="s">
        <v>236</v>
      </c>
      <c r="I2107" s="105" t="s">
        <v>1126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137</v>
      </c>
      <c r="AA2107" s="79"/>
    </row>
    <row r="2108" spans="1:27">
      <c r="A2108" s="88" t="s">
        <v>1125</v>
      </c>
      <c r="B2108" s="83" t="str">
        <f t="shared" si="515"/>
        <v>KANYU_MOKUTEKI_OTHER</v>
      </c>
      <c r="C2108" s="87" t="s">
        <v>191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202</v>
      </c>
      <c r="H2108" s="105" t="s">
        <v>236</v>
      </c>
      <c r="I2108" s="105" t="s">
        <v>207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137</v>
      </c>
      <c r="AA2108" s="79"/>
    </row>
    <row r="2109" spans="1:27">
      <c r="A2109" s="88" t="s">
        <v>1124</v>
      </c>
      <c r="B2109" s="83" t="str">
        <f t="shared" si="515"/>
        <v>SHIYO_KOZA_PLCYHLDR</v>
      </c>
      <c r="C2109" s="87" t="s">
        <v>191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1119</v>
      </c>
      <c r="H2109" s="105" t="s">
        <v>1118</v>
      </c>
      <c r="I2109" s="105" t="s">
        <v>1123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137</v>
      </c>
      <c r="AA2109" s="79"/>
    </row>
    <row r="2110" spans="1:27">
      <c r="A2110" s="88" t="s">
        <v>1122</v>
      </c>
      <c r="B2110" s="83" t="str">
        <f t="shared" si="515"/>
        <v>SHIYO_KOZA_FUYOSHA</v>
      </c>
      <c r="C2110" s="87" t="s">
        <v>191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1119</v>
      </c>
      <c r="H2110" s="105" t="s">
        <v>1118</v>
      </c>
      <c r="I2110" s="105" t="s">
        <v>1121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137</v>
      </c>
      <c r="AA2110" s="79"/>
    </row>
    <row r="2111" spans="1:27">
      <c r="A2111" s="88" t="s">
        <v>1120</v>
      </c>
      <c r="B2111" s="83" t="str">
        <f t="shared" si="515"/>
        <v>SHIYO_KOZA_OTHER</v>
      </c>
      <c r="C2111" s="87" t="s">
        <v>191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1119</v>
      </c>
      <c r="H2111" s="105" t="s">
        <v>1118</v>
      </c>
      <c r="I2111" s="105" t="s">
        <v>207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137</v>
      </c>
      <c r="AA2111" s="79"/>
    </row>
    <row r="2112" spans="1:27">
      <c r="A2112" s="88" t="s">
        <v>1117</v>
      </c>
      <c r="B2112" s="83" t="str">
        <f t="shared" si="515"/>
        <v>SHOKUMU_CORP_DAIHYOSHA</v>
      </c>
      <c r="C2112" s="87" t="s">
        <v>191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881</v>
      </c>
      <c r="H2112" s="105" t="s">
        <v>195</v>
      </c>
      <c r="I2112" s="105" t="s">
        <v>208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137</v>
      </c>
      <c r="AA2112" s="79"/>
    </row>
    <row r="2113" spans="1:27">
      <c r="A2113" s="88" t="s">
        <v>1116</v>
      </c>
      <c r="B2113" s="83" t="str">
        <f t="shared" si="515"/>
        <v>SHOKUMU_YAKUIN</v>
      </c>
      <c r="C2113" s="87" t="s">
        <v>191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881</v>
      </c>
      <c r="H2113" s="105" t="s">
        <v>278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137</v>
      </c>
      <c r="AA2113" s="79"/>
    </row>
    <row r="2114" spans="1:27">
      <c r="A2114" s="88" t="s">
        <v>1115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191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881</v>
      </c>
      <c r="H2114" s="105" t="s">
        <v>274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137</v>
      </c>
      <c r="AA2114" s="79"/>
    </row>
    <row r="2115" spans="1:27">
      <c r="A2115" s="88" t="s">
        <v>1114</v>
      </c>
      <c r="B2115" s="83" t="str">
        <f t="shared" si="531"/>
        <v>SHOKUMU_PATO_ARUBAITO</v>
      </c>
      <c r="C2115" s="87" t="s">
        <v>191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881</v>
      </c>
      <c r="H2115" s="105" t="s">
        <v>1113</v>
      </c>
      <c r="I2115" s="105" t="s">
        <v>1112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137</v>
      </c>
      <c r="AA2115" s="79"/>
    </row>
    <row r="2116" spans="1:27">
      <c r="A2116" s="88" t="s">
        <v>1111</v>
      </c>
      <c r="B2116" s="83" t="str">
        <f t="shared" si="531"/>
        <v>SHOKUMU_SHUFU_GAKUSEI_YOJI</v>
      </c>
      <c r="C2116" s="87" t="s">
        <v>191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881</v>
      </c>
      <c r="H2116" s="105" t="s">
        <v>1110</v>
      </c>
      <c r="I2116" s="105" t="s">
        <v>1109</v>
      </c>
      <c r="J2116" s="103" t="s">
        <v>1108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137</v>
      </c>
      <c r="AA2116" s="79"/>
    </row>
    <row r="2117" spans="1:27">
      <c r="A2117" s="88" t="s">
        <v>1107</v>
      </c>
      <c r="B2117" s="83" t="str">
        <f t="shared" si="531"/>
        <v>SHOKUMU_OTHER</v>
      </c>
      <c r="C2117" s="87" t="s">
        <v>191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881</v>
      </c>
      <c r="H2117" s="105" t="s">
        <v>207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137</v>
      </c>
      <c r="AA2117" s="79"/>
    </row>
    <row r="2118" spans="1:27">
      <c r="A2118" s="88" t="s">
        <v>1106</v>
      </c>
      <c r="B2118" s="83" t="str">
        <f t="shared" si="531"/>
        <v>SHOKUMU_KOJIN_JIGYONUSHI</v>
      </c>
      <c r="C2118" s="87" t="s">
        <v>191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881</v>
      </c>
      <c r="H2118" s="105" t="s">
        <v>1105</v>
      </c>
      <c r="I2118" s="105" t="s">
        <v>1104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137</v>
      </c>
      <c r="AA2118" s="79"/>
    </row>
    <row r="2119" spans="1:27">
      <c r="A2119" s="88" t="s">
        <v>1103</v>
      </c>
      <c r="B2119" s="83" t="str">
        <f t="shared" si="531"/>
        <v>SHOKUMU_NENKIN_SHISAN</v>
      </c>
      <c r="C2119" s="87" t="s">
        <v>191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881</v>
      </c>
      <c r="H2119" s="105" t="s">
        <v>1102</v>
      </c>
      <c r="I2119" s="105" t="s">
        <v>1014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1101</v>
      </c>
      <c r="AA2119" s="79"/>
    </row>
    <row r="2120" spans="1:27">
      <c r="A2120" s="88" t="s">
        <v>1100</v>
      </c>
      <c r="B2120" s="83" t="str">
        <f t="shared" si="531"/>
        <v>NENGO_MEIJI</v>
      </c>
      <c r="C2120" s="87" t="s">
        <v>1099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880</v>
      </c>
      <c r="H2120" s="105" t="s">
        <v>1098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137</v>
      </c>
      <c r="AA2120" s="79"/>
    </row>
    <row r="2121" spans="1:27">
      <c r="A2121" s="88" t="s">
        <v>1097</v>
      </c>
      <c r="B2121" s="83" t="str">
        <f t="shared" si="531"/>
        <v>NENGO_TAISHO</v>
      </c>
      <c r="C2121" s="87" t="s">
        <v>191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880</v>
      </c>
      <c r="H2121" s="105" t="s">
        <v>1096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137</v>
      </c>
      <c r="AA2121" s="79"/>
    </row>
    <row r="2122" spans="1:27">
      <c r="A2122" s="88" t="s">
        <v>1095</v>
      </c>
      <c r="B2122" s="83" t="str">
        <f t="shared" si="531"/>
        <v>NENGO_SHOWA</v>
      </c>
      <c r="C2122" s="87" t="s">
        <v>191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880</v>
      </c>
      <c r="H2122" s="105" t="s">
        <v>1094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137</v>
      </c>
      <c r="AA2122" s="79"/>
    </row>
    <row r="2123" spans="1:27">
      <c r="A2123" s="88" t="s">
        <v>1093</v>
      </c>
      <c r="B2123" s="83" t="str">
        <f t="shared" si="531"/>
        <v>NENGO_HEISEI</v>
      </c>
      <c r="C2123" s="87" t="s">
        <v>191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880</v>
      </c>
      <c r="H2123" s="105" t="s">
        <v>1092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137</v>
      </c>
      <c r="AA2123" s="79"/>
    </row>
    <row r="2124" spans="1:27">
      <c r="A2124" s="88" t="s">
        <v>1091</v>
      </c>
      <c r="B2124" s="83" t="str">
        <f t="shared" si="531"/>
        <v>KEIZOKU_PLAN_ARI</v>
      </c>
      <c r="C2124" s="87" t="s">
        <v>191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1088</v>
      </c>
      <c r="H2124" s="105" t="s">
        <v>1090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137</v>
      </c>
      <c r="AA2124" s="79"/>
    </row>
    <row r="2125" spans="1:27">
      <c r="A2125" s="88" t="s">
        <v>1089</v>
      </c>
      <c r="B2125" s="83" t="str">
        <f t="shared" si="531"/>
        <v>KEIZOKU_PLAN_NASHI</v>
      </c>
      <c r="C2125" s="87" t="s">
        <v>191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1088</v>
      </c>
      <c r="H2125" s="105" t="s">
        <v>1087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137</v>
      </c>
      <c r="AA2125" s="79"/>
    </row>
    <row r="2126" spans="1:27">
      <c r="A2126" s="88" t="s">
        <v>1086</v>
      </c>
      <c r="B2126" s="83" t="str">
        <f t="shared" si="531"/>
        <v>PLCY_FORM_KB_KOJIN</v>
      </c>
      <c r="C2126" s="87" t="s">
        <v>191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1083</v>
      </c>
      <c r="H2126" s="105" t="s">
        <v>1082</v>
      </c>
      <c r="I2126" s="105" t="s">
        <v>177</v>
      </c>
      <c r="J2126" s="105" t="s">
        <v>1085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137</v>
      </c>
      <c r="AA2126" s="79"/>
    </row>
    <row r="2127" spans="1:27">
      <c r="A2127" s="88" t="s">
        <v>1084</v>
      </c>
      <c r="B2127" s="83" t="str">
        <f t="shared" si="531"/>
        <v>PLCY_FORM_KB_CORP</v>
      </c>
      <c r="C2127" s="87" t="s">
        <v>191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1083</v>
      </c>
      <c r="H2127" s="105" t="s">
        <v>1082</v>
      </c>
      <c r="I2127" s="105" t="s">
        <v>177</v>
      </c>
      <c r="J2127" s="105" t="s">
        <v>195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137</v>
      </c>
      <c r="AA2127" s="79"/>
    </row>
    <row r="2128" spans="1:27">
      <c r="A2128" s="88" t="s">
        <v>1081</v>
      </c>
      <c r="B2128" s="83" t="str">
        <f t="shared" si="531"/>
        <v>CORP_KAKUNIN_DOC_HOMON</v>
      </c>
      <c r="C2128" s="87" t="s">
        <v>191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195</v>
      </c>
      <c r="H2128" s="105" t="s">
        <v>194</v>
      </c>
      <c r="I2128" s="105" t="s">
        <v>878</v>
      </c>
      <c r="J2128" s="105" t="s">
        <v>1080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137</v>
      </c>
      <c r="AA2128" s="79"/>
    </row>
    <row r="2129" spans="1:27">
      <c r="A2129" s="88" t="s">
        <v>1079</v>
      </c>
      <c r="B2129" s="83" t="str">
        <f t="shared" si="531"/>
        <v>CORP_KAKUNIN_DOC_TOKIBO</v>
      </c>
      <c r="C2129" s="87" t="s">
        <v>191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195</v>
      </c>
      <c r="H2129" s="105" t="s">
        <v>194</v>
      </c>
      <c r="I2129" s="105" t="s">
        <v>878</v>
      </c>
      <c r="J2129" s="105" t="s">
        <v>218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137</v>
      </c>
      <c r="AA2129" s="79"/>
    </row>
    <row r="2130" spans="1:27">
      <c r="A2130" s="88" t="s">
        <v>1078</v>
      </c>
      <c r="B2130" s="83" t="str">
        <f t="shared" si="531"/>
        <v>CORP_KAKUNIN_DOC_KIGYO_INFO</v>
      </c>
      <c r="C2130" s="87" t="s">
        <v>191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195</v>
      </c>
      <c r="H2130" s="105" t="s">
        <v>194</v>
      </c>
      <c r="I2130" s="105" t="s">
        <v>878</v>
      </c>
      <c r="J2130" s="105" t="s">
        <v>235</v>
      </c>
      <c r="K2130" s="103" t="s">
        <v>215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137</v>
      </c>
      <c r="AA2130" s="79"/>
    </row>
    <row r="2131" spans="1:27">
      <c r="A2131" s="88" t="s">
        <v>1077</v>
      </c>
      <c r="B2131" s="83" t="str">
        <f t="shared" si="531"/>
        <v>CORP_KAKUNIN_DOC_COMPANY</v>
      </c>
      <c r="C2131" s="87" t="s">
        <v>191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195</v>
      </c>
      <c r="H2131" s="105" t="s">
        <v>194</v>
      </c>
      <c r="I2131" s="105" t="s">
        <v>878</v>
      </c>
      <c r="J2131" s="105" t="s">
        <v>1067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137</v>
      </c>
      <c r="AA2131" s="79"/>
    </row>
    <row r="2132" spans="1:27">
      <c r="A2132" s="88" t="s">
        <v>1076</v>
      </c>
      <c r="B2132" s="83" t="str">
        <f t="shared" si="531"/>
        <v>CORP_KAKUNIN_DOC_MBR_DAICHO</v>
      </c>
      <c r="C2132" s="87" t="s">
        <v>191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195</v>
      </c>
      <c r="H2132" s="105" t="s">
        <v>194</v>
      </c>
      <c r="I2132" s="105" t="s">
        <v>878</v>
      </c>
      <c r="J2132" s="105" t="s">
        <v>1065</v>
      </c>
      <c r="K2132" s="103" t="s">
        <v>1075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137</v>
      </c>
      <c r="AA2132" s="79"/>
    </row>
    <row r="2133" spans="1:27">
      <c r="A2133" s="88" t="s">
        <v>1074</v>
      </c>
      <c r="B2133" s="83" t="str">
        <f t="shared" si="531"/>
        <v>CORP_KAKUNIN_DOC_OTHER</v>
      </c>
      <c r="C2133" s="87" t="s">
        <v>191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195</v>
      </c>
      <c r="H2133" s="105" t="s">
        <v>194</v>
      </c>
      <c r="I2133" s="105" t="s">
        <v>878</v>
      </c>
      <c r="J2133" s="105" t="s">
        <v>207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137</v>
      </c>
      <c r="AA2133" s="79"/>
    </row>
    <row r="2134" spans="1:27">
      <c r="A2134" s="88" t="s">
        <v>1073</v>
      </c>
      <c r="B2134" s="83" t="str">
        <f t="shared" si="531"/>
        <v>DAIHYO_KAKUNIN_HOHO_TOKIBO</v>
      </c>
      <c r="C2134" s="87" t="s">
        <v>191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280</v>
      </c>
      <c r="H2134" s="105" t="s">
        <v>194</v>
      </c>
      <c r="I2134" s="105" t="s">
        <v>193</v>
      </c>
      <c r="J2134" s="105" t="s">
        <v>1072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137</v>
      </c>
      <c r="AA2134" s="79"/>
    </row>
    <row r="2135" spans="1:27">
      <c r="A2135" s="88" t="s">
        <v>1071</v>
      </c>
      <c r="B2135" s="83" t="str">
        <f t="shared" si="531"/>
        <v>DAIHYO_KAKUNIN_HOHO_KIGYO_INFO</v>
      </c>
      <c r="C2135" s="87" t="s">
        <v>191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280</v>
      </c>
      <c r="H2135" s="105" t="s">
        <v>194</v>
      </c>
      <c r="I2135" s="105" t="s">
        <v>193</v>
      </c>
      <c r="J2135" s="105" t="s">
        <v>235</v>
      </c>
      <c r="K2135" s="103" t="s">
        <v>215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137</v>
      </c>
      <c r="AA2135" s="79"/>
    </row>
    <row r="2136" spans="1:27">
      <c r="A2136" s="88" t="s">
        <v>1070</v>
      </c>
      <c r="B2136" s="83" t="str">
        <f t="shared" si="531"/>
        <v>DAIHYO_KAKUNIN_HOHO_MEISHI</v>
      </c>
      <c r="C2136" s="87" t="s">
        <v>191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280</v>
      </c>
      <c r="H2136" s="105" t="s">
        <v>194</v>
      </c>
      <c r="I2136" s="105" t="s">
        <v>193</v>
      </c>
      <c r="J2136" s="105" t="s">
        <v>1069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137</v>
      </c>
      <c r="AA2136" s="79"/>
    </row>
    <row r="2137" spans="1:27">
      <c r="A2137" s="88" t="s">
        <v>1068</v>
      </c>
      <c r="B2137" s="83" t="str">
        <f t="shared" si="531"/>
        <v>DAIHYO_KAKUNIN_HOHO_COMPANY</v>
      </c>
      <c r="C2137" s="87" t="s">
        <v>191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280</v>
      </c>
      <c r="H2137" s="105" t="s">
        <v>194</v>
      </c>
      <c r="I2137" s="105" t="s">
        <v>193</v>
      </c>
      <c r="J2137" s="105" t="s">
        <v>1067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137</v>
      </c>
      <c r="AA2137" s="79"/>
    </row>
    <row r="2138" spans="1:27">
      <c r="A2138" s="88" t="s">
        <v>1066</v>
      </c>
      <c r="B2138" s="83" t="str">
        <f t="shared" si="531"/>
        <v>DAIHYO_KAKUNIN_HOHO_MBR_DAICHO</v>
      </c>
      <c r="C2138" s="87" t="s">
        <v>191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280</v>
      </c>
      <c r="H2138" s="105" t="s">
        <v>194</v>
      </c>
      <c r="I2138" s="105" t="s">
        <v>193</v>
      </c>
      <c r="J2138" s="105" t="s">
        <v>1065</v>
      </c>
      <c r="K2138" s="103" t="s">
        <v>1064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137</v>
      </c>
      <c r="AA2138" s="79"/>
    </row>
    <row r="2139" spans="1:27">
      <c r="A2139" s="88" t="s">
        <v>1063</v>
      </c>
      <c r="B2139" s="83" t="str">
        <f t="shared" si="531"/>
        <v>DAIHYO_KAKUNIN_HOHO_OTHER</v>
      </c>
      <c r="C2139" s="87" t="s">
        <v>191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280</v>
      </c>
      <c r="H2139" s="105" t="s">
        <v>194</v>
      </c>
      <c r="I2139" s="105" t="s">
        <v>193</v>
      </c>
      <c r="J2139" s="105" t="s">
        <v>207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1062</v>
      </c>
      <c r="AA2139" s="79"/>
    </row>
    <row r="2140" spans="1:27">
      <c r="A2140" s="88" t="s">
        <v>1061</v>
      </c>
      <c r="B2140" s="83" t="str">
        <f t="shared" si="531"/>
        <v>HONNIN_KAKUNIN_HOHO_TAKU</v>
      </c>
      <c r="C2140" s="87" t="s">
        <v>1060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875</v>
      </c>
      <c r="H2140" s="105" t="s">
        <v>194</v>
      </c>
      <c r="I2140" s="105" t="s">
        <v>193</v>
      </c>
      <c r="J2140" s="105" t="s">
        <v>1059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137</v>
      </c>
      <c r="AA2140" s="79"/>
    </row>
    <row r="2141" spans="1:27">
      <c r="A2141" s="88" t="s">
        <v>1058</v>
      </c>
      <c r="B2141" s="83" t="str">
        <f t="shared" si="531"/>
        <v>HONNIN_KAKUNIN_HOHO_KIMMUSAKI</v>
      </c>
      <c r="C2141" s="87" t="s">
        <v>191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875</v>
      </c>
      <c r="H2141" s="105" t="s">
        <v>194</v>
      </c>
      <c r="I2141" s="105" t="s">
        <v>193</v>
      </c>
      <c r="J2141" s="105" t="s">
        <v>1057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137</v>
      </c>
      <c r="AA2141" s="79"/>
    </row>
    <row r="2142" spans="1:27">
      <c r="A2142" s="88" t="s">
        <v>1056</v>
      </c>
      <c r="B2142" s="83" t="str">
        <f t="shared" si="531"/>
        <v>HONNIN_KAKUNIN_HOHO_MENKYO</v>
      </c>
      <c r="C2142" s="87" t="s">
        <v>191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875</v>
      </c>
      <c r="H2142" s="105" t="s">
        <v>194</v>
      </c>
      <c r="I2142" s="105" t="s">
        <v>193</v>
      </c>
      <c r="J2142" s="105" t="s">
        <v>1055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137</v>
      </c>
      <c r="AA2142" s="79"/>
    </row>
    <row r="2143" spans="1:27">
      <c r="A2143" s="88" t="s">
        <v>1054</v>
      </c>
      <c r="B2143" s="83" t="str">
        <f t="shared" si="531"/>
        <v>HONNIN_KAKUNIN_HOHO_PASSPORT</v>
      </c>
      <c r="C2143" s="87" t="s">
        <v>191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875</v>
      </c>
      <c r="H2143" s="105" t="s">
        <v>194</v>
      </c>
      <c r="I2143" s="105" t="s">
        <v>193</v>
      </c>
      <c r="J2143" s="105" t="s">
        <v>1053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137</v>
      </c>
      <c r="AA2143" s="79"/>
    </row>
    <row r="2144" spans="1:27">
      <c r="A2144" s="88" t="s">
        <v>1052</v>
      </c>
      <c r="B2144" s="83" t="str">
        <f t="shared" si="531"/>
        <v>HONNIN_KAKUNIN_HOHO_SHAINSHO</v>
      </c>
      <c r="C2144" s="87" t="s">
        <v>191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875</v>
      </c>
      <c r="H2144" s="105" t="s">
        <v>194</v>
      </c>
      <c r="I2144" s="105" t="s">
        <v>193</v>
      </c>
      <c r="J2144" s="105" t="s">
        <v>1051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137</v>
      </c>
      <c r="AA2144" s="79"/>
    </row>
    <row r="2145" spans="1:27">
      <c r="A2145" s="88" t="s">
        <v>1050</v>
      </c>
      <c r="B2145" s="83" t="str">
        <f t="shared" si="531"/>
        <v>HONNIN_KAKUNIN_HOHO_OTHER</v>
      </c>
      <c r="C2145" s="87" t="s">
        <v>191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875</v>
      </c>
      <c r="H2145" s="105" t="s">
        <v>194</v>
      </c>
      <c r="I2145" s="105" t="s">
        <v>193</v>
      </c>
      <c r="J2145" s="105" t="s">
        <v>207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137</v>
      </c>
      <c r="AA2145" s="79"/>
    </row>
    <row r="2146" spans="1:27">
      <c r="A2146" s="88" t="s">
        <v>1049</v>
      </c>
      <c r="B2146" s="83" t="str">
        <f t="shared" si="531"/>
        <v>ZEIKOKA_ARI</v>
      </c>
      <c r="C2146" s="87" t="s">
        <v>191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874</v>
      </c>
      <c r="H2146" s="105" t="s">
        <v>343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137</v>
      </c>
      <c r="AA2146" s="79"/>
    </row>
    <row r="2147" spans="1:27">
      <c r="A2147" s="88" t="s">
        <v>1048</v>
      </c>
      <c r="B2147" s="83" t="str">
        <f t="shared" si="531"/>
        <v>ZEIKOKA_NASHI</v>
      </c>
      <c r="C2147" s="87" t="s">
        <v>191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874</v>
      </c>
      <c r="H2147" s="105" t="s">
        <v>340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137</v>
      </c>
      <c r="AA2147" s="79"/>
    </row>
    <row r="2148" spans="1:27">
      <c r="A2148" s="88" t="s">
        <v>1047</v>
      </c>
      <c r="B2148" s="83" t="str">
        <f t="shared" si="531"/>
        <v>ATAMAKIN_JUTO_HOSHIKI_ARI</v>
      </c>
      <c r="C2148" s="87" t="s">
        <v>191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872</v>
      </c>
      <c r="H2148" s="105" t="s">
        <v>871</v>
      </c>
      <c r="I2148" s="105" t="s">
        <v>870</v>
      </c>
      <c r="J2148" s="105" t="s">
        <v>343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137</v>
      </c>
      <c r="AA2148" s="79"/>
    </row>
    <row r="2149" spans="1:27">
      <c r="A2149" s="88" t="s">
        <v>1046</v>
      </c>
      <c r="B2149" s="83" t="str">
        <f t="shared" si="531"/>
        <v>ATAMAKIN_JUTO_HOSHIKI_NASHI</v>
      </c>
      <c r="C2149" s="87" t="s">
        <v>191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872</v>
      </c>
      <c r="H2149" s="105" t="s">
        <v>871</v>
      </c>
      <c r="I2149" s="105" t="s">
        <v>870</v>
      </c>
      <c r="J2149" s="105" t="s">
        <v>340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137</v>
      </c>
      <c r="AA2149" s="79"/>
    </row>
    <row r="2150" spans="1:27">
      <c r="A2150" s="88" t="s">
        <v>1045</v>
      </c>
      <c r="B2150" s="83" t="str">
        <f t="shared" si="531"/>
        <v>SEKKEI_SHURUI_N_PLCY</v>
      </c>
      <c r="C2150" s="87" t="s">
        <v>191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832</v>
      </c>
      <c r="H2150" s="105" t="s">
        <v>831</v>
      </c>
      <c r="I2150" s="105" t="s">
        <v>1044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137</v>
      </c>
      <c r="AA2150" s="79"/>
    </row>
    <row r="2151" spans="1:27">
      <c r="A2151" s="88" t="s">
        <v>1043</v>
      </c>
      <c r="B2151" s="83" t="str">
        <f t="shared" si="531"/>
        <v>SEKKEI_SHURUI_CV</v>
      </c>
      <c r="C2151" s="87" t="s">
        <v>191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832</v>
      </c>
      <c r="H2151" s="105" t="s">
        <v>831</v>
      </c>
      <c r="I2151" s="105" t="s">
        <v>1042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137</v>
      </c>
      <c r="AA2151" s="79"/>
    </row>
    <row r="2152" spans="1:27">
      <c r="A2152" s="88" t="s">
        <v>1041</v>
      </c>
      <c r="B2152" s="83" t="str">
        <f t="shared" si="531"/>
        <v>SEKKEI_SHURUI_CNV</v>
      </c>
      <c r="C2152" s="87" t="s">
        <v>191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832</v>
      </c>
      <c r="H2152" s="105" t="s">
        <v>831</v>
      </c>
      <c r="I2152" s="105" t="s">
        <v>1040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137</v>
      </c>
      <c r="AA2152" s="79"/>
    </row>
    <row r="2153" spans="1:27">
      <c r="A2153" s="88" t="s">
        <v>1039</v>
      </c>
      <c r="B2153" s="83" t="str">
        <f t="shared" si="531"/>
        <v>SEKKEI_SHURUI_SOMPO</v>
      </c>
      <c r="C2153" s="87" t="s">
        <v>191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832</v>
      </c>
      <c r="H2153" s="105" t="s">
        <v>831</v>
      </c>
      <c r="I2153" s="105" t="s">
        <v>1038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137</v>
      </c>
      <c r="AA2153" s="79"/>
    </row>
    <row r="2154" spans="1:27">
      <c r="A2154" s="88" t="s">
        <v>1037</v>
      </c>
      <c r="B2154" s="83" t="str">
        <f t="shared" si="531"/>
        <v>NENSAI_CD_NEN</v>
      </c>
      <c r="C2154" s="87" t="s">
        <v>191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867</v>
      </c>
      <c r="H2154" s="105" t="s">
        <v>183</v>
      </c>
      <c r="I2154" s="105" t="s">
        <v>1036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137</v>
      </c>
      <c r="AA2154" s="79"/>
    </row>
    <row r="2155" spans="1:27">
      <c r="A2155" s="88" t="s">
        <v>1035</v>
      </c>
      <c r="B2155" s="83" t="str">
        <f t="shared" si="531"/>
        <v>NENSAI_CD_SAI</v>
      </c>
      <c r="C2155" s="87" t="s">
        <v>191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867</v>
      </c>
      <c r="H2155" s="105" t="s">
        <v>183</v>
      </c>
      <c r="I2155" s="105" t="s">
        <v>1034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137</v>
      </c>
      <c r="AA2155" s="79"/>
    </row>
    <row r="2156" spans="1:27">
      <c r="A2156" s="88" t="s">
        <v>1033</v>
      </c>
      <c r="B2156" s="83" t="str">
        <f t="shared" si="531"/>
        <v>HARAIKOMI_KIKAN_HARAIKOMI</v>
      </c>
      <c r="C2156" s="87" t="s">
        <v>191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349</v>
      </c>
      <c r="H2156" s="105" t="s">
        <v>864</v>
      </c>
      <c r="I2156" s="105" t="s">
        <v>349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137</v>
      </c>
      <c r="AA2156" s="79"/>
    </row>
    <row r="2157" spans="1:27">
      <c r="A2157" s="88" t="s">
        <v>1032</v>
      </c>
      <c r="B2157" s="83" t="str">
        <f t="shared" si="531"/>
        <v>HARAIKOMI_KIKAN_SHUSHIN</v>
      </c>
      <c r="C2157" s="87" t="s">
        <v>191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349</v>
      </c>
      <c r="H2157" s="105" t="s">
        <v>864</v>
      </c>
      <c r="I2157" s="105" t="s">
        <v>954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137</v>
      </c>
      <c r="AA2157" s="79"/>
    </row>
    <row r="2158" spans="1:27">
      <c r="A2158" s="88" t="s">
        <v>1031</v>
      </c>
      <c r="B2158" s="83" t="str">
        <f t="shared" si="531"/>
        <v>HARAIKOMI_KIKAN_ICHIJIBARAI</v>
      </c>
      <c r="C2158" s="87" t="s">
        <v>191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349</v>
      </c>
      <c r="H2158" s="105" t="s">
        <v>864</v>
      </c>
      <c r="I2158" s="105" t="s">
        <v>351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137</v>
      </c>
      <c r="AA2158" s="79"/>
    </row>
    <row r="2159" spans="1:27">
      <c r="A2159" s="88" t="s">
        <v>1030</v>
      </c>
      <c r="B2159" s="83" t="str">
        <f t="shared" si="531"/>
        <v>HOKEN_KIKAN_MANRYO</v>
      </c>
      <c r="C2159" s="87" t="s">
        <v>191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360</v>
      </c>
      <c r="H2159" s="105" t="s">
        <v>864</v>
      </c>
      <c r="I2159" s="105" t="s">
        <v>1029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137</v>
      </c>
      <c r="AA2159" s="79"/>
    </row>
    <row r="2160" spans="1:27">
      <c r="A2160" s="88" t="s">
        <v>1028</v>
      </c>
      <c r="B2160" s="83" t="str">
        <f t="shared" si="531"/>
        <v>HOKEN_KIKAN_MANKI</v>
      </c>
      <c r="C2160" s="87" t="s">
        <v>191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360</v>
      </c>
      <c r="H2160" s="105" t="s">
        <v>864</v>
      </c>
      <c r="I2160" s="105" t="s">
        <v>1027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137</v>
      </c>
      <c r="AA2160" s="79"/>
    </row>
    <row r="2161" spans="1:27">
      <c r="A2161" s="88" t="s">
        <v>1026</v>
      </c>
      <c r="B2161" s="83" t="str">
        <f t="shared" si="531"/>
        <v>HOKEN_KIKAN_START</v>
      </c>
      <c r="C2161" s="87" t="s">
        <v>191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360</v>
      </c>
      <c r="H2161" s="105" t="s">
        <v>651</v>
      </c>
      <c r="I2161" s="105" t="s">
        <v>1025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137</v>
      </c>
      <c r="AA2161" s="79"/>
    </row>
    <row r="2162" spans="1:27">
      <c r="A2162" s="88" t="s">
        <v>1024</v>
      </c>
      <c r="B2162" s="83" t="str">
        <f t="shared" si="531"/>
        <v>HOKEN_KIKAN_SHUSHIN</v>
      </c>
      <c r="C2162" s="87" t="s">
        <v>191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360</v>
      </c>
      <c r="H2162" s="105" t="s">
        <v>864</v>
      </c>
      <c r="I2162" s="105" t="s">
        <v>954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137</v>
      </c>
      <c r="AA2162" s="79"/>
    </row>
    <row r="2163" spans="1:27">
      <c r="A2163" s="88" t="s">
        <v>1023</v>
      </c>
      <c r="B2163" s="83" t="str">
        <f t="shared" si="531"/>
        <v>HOKEN_KIKAN_ICHIJIBARAI</v>
      </c>
      <c r="C2163" s="87" t="s">
        <v>191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360</v>
      </c>
      <c r="H2163" s="105" t="s">
        <v>864</v>
      </c>
      <c r="I2163" s="105" t="s">
        <v>351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137</v>
      </c>
      <c r="AA2163" s="79"/>
    </row>
    <row r="2164" spans="1:27">
      <c r="A2164" s="88" t="s">
        <v>1022</v>
      </c>
      <c r="B2164" s="83" t="str">
        <f t="shared" si="531"/>
        <v>SHOKUMU_C_KEIEI</v>
      </c>
      <c r="C2164" s="87" t="s">
        <v>191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881</v>
      </c>
      <c r="H2164" s="105" t="s">
        <v>1010</v>
      </c>
      <c r="I2164" s="105" t="s">
        <v>1021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137</v>
      </c>
      <c r="AA2164" s="79"/>
    </row>
    <row r="2165" spans="1:27">
      <c r="A2165" s="88" t="s">
        <v>1020</v>
      </c>
      <c r="B2165" s="83" t="str">
        <f t="shared" si="531"/>
        <v>SHOKUMU_C_SALES</v>
      </c>
      <c r="C2165" s="87" t="s">
        <v>191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881</v>
      </c>
      <c r="H2165" s="105" t="s">
        <v>1010</v>
      </c>
      <c r="I2165" s="105" t="s">
        <v>184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137</v>
      </c>
      <c r="AA2165" s="79"/>
    </row>
    <row r="2166" spans="1:27">
      <c r="A2166" s="88" t="s">
        <v>1019</v>
      </c>
      <c r="B2166" s="83" t="str">
        <f t="shared" si="531"/>
        <v>SHOKUMU_C_JIMU</v>
      </c>
      <c r="C2166" s="87" t="s">
        <v>191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881</v>
      </c>
      <c r="H2166" s="105" t="s">
        <v>1010</v>
      </c>
      <c r="I2166" s="105" t="s">
        <v>1018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137</v>
      </c>
      <c r="AA2166" s="79"/>
    </row>
    <row r="2167" spans="1:27">
      <c r="A2167" s="88" t="s">
        <v>1017</v>
      </c>
      <c r="B2167" s="83" t="str">
        <f t="shared" si="531"/>
        <v>SHOKUMU_C_SHUFU</v>
      </c>
      <c r="C2167" s="87" t="s">
        <v>191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881</v>
      </c>
      <c r="H2167" s="105" t="s">
        <v>1010</v>
      </c>
      <c r="I2167" s="105" t="s">
        <v>1016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137</v>
      </c>
      <c r="AA2167" s="79"/>
    </row>
    <row r="2168" spans="1:27">
      <c r="A2168" s="88" t="s">
        <v>1015</v>
      </c>
      <c r="B2168" s="83" t="str">
        <f t="shared" si="531"/>
        <v>SHOKUMU_C_SHISAN_NENKIN</v>
      </c>
      <c r="C2168" s="87" t="s">
        <v>191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881</v>
      </c>
      <c r="H2168" s="105" t="s">
        <v>1010</v>
      </c>
      <c r="I2168" s="105" t="s">
        <v>1014</v>
      </c>
      <c r="J2168" s="105" t="s">
        <v>500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137</v>
      </c>
      <c r="AA2168" s="79"/>
    </row>
    <row r="2169" spans="1:27">
      <c r="A2169" s="88" t="s">
        <v>1013</v>
      </c>
      <c r="B2169" s="83" t="str">
        <f t="shared" si="531"/>
        <v>SHOKUMU_C_GAKUSEI</v>
      </c>
      <c r="C2169" s="87" t="s">
        <v>191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881</v>
      </c>
      <c r="H2169" s="105" t="s">
        <v>1010</v>
      </c>
      <c r="I2169" s="105" t="s">
        <v>1012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137</v>
      </c>
      <c r="AA2169" s="79"/>
    </row>
    <row r="2170" spans="1:27">
      <c r="A2170" s="88" t="s">
        <v>1011</v>
      </c>
      <c r="B2170" s="83" t="str">
        <f t="shared" si="531"/>
        <v>SHOKUMU_C_OTHER</v>
      </c>
      <c r="C2170" s="87" t="s">
        <v>191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881</v>
      </c>
      <c r="H2170" s="105" t="s">
        <v>1010</v>
      </c>
      <c r="I2170" s="105" t="s">
        <v>207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137</v>
      </c>
      <c r="AA2170" s="79"/>
    </row>
    <row r="2171" spans="1:27">
      <c r="A2171" s="88" t="s">
        <v>1009</v>
      </c>
      <c r="B2171" s="83" t="str">
        <f t="shared" si="531"/>
        <v>NENSHU_0_200</v>
      </c>
      <c r="C2171" s="87" t="s">
        <v>191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1000</v>
      </c>
      <c r="H2171" s="111" t="s">
        <v>1008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137</v>
      </c>
      <c r="AA2171" s="79"/>
    </row>
    <row r="2172" spans="1:27">
      <c r="A2172" s="88" t="s">
        <v>1007</v>
      </c>
      <c r="B2172" s="83" t="str">
        <f t="shared" si="531"/>
        <v>NENSHU_201_400</v>
      </c>
      <c r="C2172" s="87" t="s">
        <v>191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1000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137</v>
      </c>
      <c r="AA2172" s="79"/>
    </row>
    <row r="2173" spans="1:27">
      <c r="A2173" s="88" t="s">
        <v>1006</v>
      </c>
      <c r="B2173" s="83" t="str">
        <f t="shared" si="531"/>
        <v>NENSHU_401_600</v>
      </c>
      <c r="C2173" s="87" t="s">
        <v>191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1000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137</v>
      </c>
      <c r="AA2173" s="79"/>
    </row>
    <row r="2174" spans="1:27">
      <c r="A2174" s="88" t="s">
        <v>1005</v>
      </c>
      <c r="B2174" s="83" t="str">
        <f t="shared" si="531"/>
        <v>NENSHU_601_800</v>
      </c>
      <c r="C2174" s="87" t="s">
        <v>191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1000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137</v>
      </c>
      <c r="AA2174" s="79"/>
    </row>
    <row r="2175" spans="1:27">
      <c r="A2175" s="88" t="s">
        <v>1004</v>
      </c>
      <c r="B2175" s="83" t="str">
        <f t="shared" si="531"/>
        <v>NENSHU_801_1000</v>
      </c>
      <c r="C2175" s="87" t="s">
        <v>191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1000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137</v>
      </c>
      <c r="AA2175" s="79"/>
    </row>
    <row r="2176" spans="1:27">
      <c r="A2176" s="88" t="s">
        <v>1003</v>
      </c>
      <c r="B2176" s="83" t="str">
        <f t="shared" si="531"/>
        <v>NENSHU_1001_1500</v>
      </c>
      <c r="C2176" s="87" t="s">
        <v>191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1000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137</v>
      </c>
      <c r="AA2176" s="79"/>
    </row>
    <row r="2177" spans="1:27">
      <c r="A2177" s="88" t="s">
        <v>1002</v>
      </c>
      <c r="B2177" s="83" t="str">
        <f t="shared" si="531"/>
        <v>NENSHU_1501_2000</v>
      </c>
      <c r="C2177" s="87" t="s">
        <v>191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1000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137</v>
      </c>
      <c r="AA2177" s="79"/>
    </row>
    <row r="2178" spans="1:27">
      <c r="A2178" s="88" t="s">
        <v>1001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191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1000</v>
      </c>
      <c r="H2178" s="105">
        <v>2001</v>
      </c>
      <c r="I2178" s="105" t="s">
        <v>933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137</v>
      </c>
      <c r="AA2178" s="79"/>
    </row>
    <row r="2179" spans="1:27">
      <c r="A2179" s="88" t="s">
        <v>999</v>
      </c>
      <c r="B2179" s="83" t="str">
        <f t="shared" si="547"/>
        <v>OFFER_STS_APP_FRM_MISAKUSEI</v>
      </c>
      <c r="C2179" s="87" t="s">
        <v>191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199</v>
      </c>
      <c r="H2179" s="110" t="s">
        <v>853</v>
      </c>
      <c r="I2179" s="110" t="s">
        <v>997</v>
      </c>
      <c r="J2179" s="109" t="s">
        <v>972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137</v>
      </c>
      <c r="AA2179" s="79"/>
    </row>
    <row r="2180" spans="1:27">
      <c r="A2180" s="88" t="s">
        <v>998</v>
      </c>
      <c r="B2180" s="83" t="str">
        <f t="shared" si="547"/>
        <v>OFFER_STS_APP_FRM_PROCESSING</v>
      </c>
      <c r="C2180" s="87" t="s">
        <v>191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199</v>
      </c>
      <c r="H2180" s="110" t="s">
        <v>853</v>
      </c>
      <c r="I2180" s="110" t="s">
        <v>997</v>
      </c>
      <c r="J2180" s="110" t="s">
        <v>978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137</v>
      </c>
      <c r="AA2180" s="79"/>
    </row>
    <row r="2181" spans="1:27">
      <c r="A2181" s="88" t="s">
        <v>996</v>
      </c>
      <c r="B2181" s="83" t="str">
        <f t="shared" si="547"/>
        <v>OFFER_STS_ILST_SAISAKUSEI</v>
      </c>
      <c r="C2181" s="87" t="s">
        <v>191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199</v>
      </c>
      <c r="H2181" s="110" t="s">
        <v>853</v>
      </c>
      <c r="I2181" s="110" t="s">
        <v>995</v>
      </c>
      <c r="J2181" s="109" t="s">
        <v>994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137</v>
      </c>
      <c r="AA2181" s="79"/>
    </row>
    <row r="2182" spans="1:27">
      <c r="A2182" s="88" t="s">
        <v>993</v>
      </c>
      <c r="B2182" s="83" t="str">
        <f t="shared" si="547"/>
        <v>OFFER_STS_DATA_WAIT</v>
      </c>
      <c r="C2182" s="87" t="s">
        <v>191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199</v>
      </c>
      <c r="H2182" s="110" t="s">
        <v>853</v>
      </c>
      <c r="I2182" s="110" t="s">
        <v>992</v>
      </c>
      <c r="J2182" s="109" t="s">
        <v>983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137</v>
      </c>
      <c r="AA2182" s="79"/>
    </row>
    <row r="2183" spans="1:27">
      <c r="A2183" s="88" t="s">
        <v>991</v>
      </c>
      <c r="B2183" s="83" t="str">
        <f t="shared" si="547"/>
        <v>OFFER_STS_DENSHI_M_WAIT</v>
      </c>
      <c r="C2183" s="87" t="s">
        <v>191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199</v>
      </c>
      <c r="H2183" s="110" t="s">
        <v>853</v>
      </c>
      <c r="I2183" s="110" t="s">
        <v>989</v>
      </c>
      <c r="J2183" s="109" t="s">
        <v>983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137</v>
      </c>
      <c r="AA2183" s="79"/>
    </row>
    <row r="2184" spans="1:27">
      <c r="A2184" s="88" t="s">
        <v>990</v>
      </c>
      <c r="B2184" s="83" t="str">
        <f t="shared" si="547"/>
        <v>OFFER_STS_DENSHI_M_PROCESSING</v>
      </c>
      <c r="C2184" s="87" t="s">
        <v>191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199</v>
      </c>
      <c r="H2184" s="110" t="s">
        <v>853</v>
      </c>
      <c r="I2184" s="110" t="s">
        <v>989</v>
      </c>
      <c r="J2184" s="110" t="s">
        <v>978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137</v>
      </c>
      <c r="AA2184" s="79"/>
    </row>
    <row r="2185" spans="1:27">
      <c r="A2185" s="88" t="s">
        <v>988</v>
      </c>
      <c r="B2185" s="83" t="str">
        <f t="shared" si="547"/>
        <v>OFFER_STS_DENSHI_K_WAIT</v>
      </c>
      <c r="C2185" s="87" t="s">
        <v>191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199</v>
      </c>
      <c r="H2185" s="110" t="s">
        <v>853</v>
      </c>
      <c r="I2185" s="110" t="s">
        <v>986</v>
      </c>
      <c r="J2185" s="109" t="s">
        <v>983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137</v>
      </c>
      <c r="AA2185" s="79"/>
    </row>
    <row r="2186" spans="1:27">
      <c r="A2186" s="88" t="s">
        <v>987</v>
      </c>
      <c r="B2186" s="83" t="str">
        <f t="shared" si="547"/>
        <v>OFFER_STS_DENSHI_K_PROCESSING</v>
      </c>
      <c r="C2186" s="87" t="s">
        <v>191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199</v>
      </c>
      <c r="H2186" s="110" t="s">
        <v>853</v>
      </c>
      <c r="I2186" s="110" t="s">
        <v>986</v>
      </c>
      <c r="J2186" s="110" t="s">
        <v>978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137</v>
      </c>
      <c r="AA2186" s="79"/>
    </row>
    <row r="2187" spans="1:27">
      <c r="A2187" s="88" t="s">
        <v>985</v>
      </c>
      <c r="B2187" s="83" t="str">
        <f t="shared" si="547"/>
        <v>OFFER_STS_REPORT_WAIT</v>
      </c>
      <c r="C2187" s="87" t="s">
        <v>191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199</v>
      </c>
      <c r="H2187" s="110" t="s">
        <v>853</v>
      </c>
      <c r="I2187" s="110" t="s">
        <v>980</v>
      </c>
      <c r="J2187" s="109" t="s">
        <v>983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137</v>
      </c>
      <c r="AA2187" s="79"/>
    </row>
    <row r="2188" spans="1:27">
      <c r="A2188" s="88" t="s">
        <v>984</v>
      </c>
      <c r="B2188" s="83" t="str">
        <f t="shared" si="547"/>
        <v>OFFER_STS_REPORT_WAIT_MI_PRNT</v>
      </c>
      <c r="C2188" s="87" t="s">
        <v>191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199</v>
      </c>
      <c r="H2188" s="110" t="s">
        <v>853</v>
      </c>
      <c r="I2188" s="110" t="s">
        <v>980</v>
      </c>
      <c r="J2188" s="109" t="s">
        <v>983</v>
      </c>
      <c r="K2188" s="109" t="s">
        <v>982</v>
      </c>
      <c r="L2188" s="102" t="s">
        <v>718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137</v>
      </c>
      <c r="AA2188" s="79"/>
    </row>
    <row r="2189" spans="1:27">
      <c r="A2189" s="88" t="s">
        <v>981</v>
      </c>
      <c r="B2189" s="83" t="str">
        <f t="shared" si="547"/>
        <v>OFFER_STS_REPORT_PROCESSING</v>
      </c>
      <c r="C2189" s="87" t="s">
        <v>191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199</v>
      </c>
      <c r="H2189" s="110" t="s">
        <v>853</v>
      </c>
      <c r="I2189" s="110" t="s">
        <v>980</v>
      </c>
      <c r="J2189" s="110" t="s">
        <v>978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137</v>
      </c>
      <c r="AA2189" s="79"/>
    </row>
    <row r="2190" spans="1:27">
      <c r="A2190" s="88" t="s">
        <v>979</v>
      </c>
      <c r="B2190" s="83" t="str">
        <f t="shared" si="547"/>
        <v>OFFER_STS_SHOKANCHO_PROCESSING</v>
      </c>
      <c r="C2190" s="87" t="s">
        <v>191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199</v>
      </c>
      <c r="H2190" s="110" t="s">
        <v>853</v>
      </c>
      <c r="I2190" s="110" t="s">
        <v>966</v>
      </c>
      <c r="J2190" s="110" t="s">
        <v>978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137</v>
      </c>
      <c r="AA2190" s="79"/>
    </row>
    <row r="2191" spans="1:27">
      <c r="A2191" s="88" t="s">
        <v>977</v>
      </c>
      <c r="B2191" s="83" t="str">
        <f t="shared" si="547"/>
        <v>OFFER_STS_SHOKANCHO_SHONIN</v>
      </c>
      <c r="C2191" s="87" t="s">
        <v>191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199</v>
      </c>
      <c r="H2191" s="110" t="s">
        <v>853</v>
      </c>
      <c r="I2191" s="110" t="s">
        <v>966</v>
      </c>
      <c r="J2191" s="110" t="s">
        <v>976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137</v>
      </c>
      <c r="AA2191" s="79"/>
    </row>
    <row r="2192" spans="1:27">
      <c r="A2192" s="88" t="s">
        <v>975</v>
      </c>
      <c r="B2192" s="83" t="str">
        <f t="shared" si="547"/>
        <v>OFFER_STS_CANCEL</v>
      </c>
      <c r="C2192" s="87" t="s">
        <v>191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199</v>
      </c>
      <c r="H2192" s="110" t="s">
        <v>853</v>
      </c>
      <c r="I2192" s="110" t="s">
        <v>974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137</v>
      </c>
      <c r="AA2192" s="79"/>
    </row>
    <row r="2193" spans="1:27">
      <c r="A2193" s="88" t="s">
        <v>973</v>
      </c>
      <c r="B2193" s="83" t="str">
        <f t="shared" si="547"/>
        <v>REPORT_STS_MISAKUSEI</v>
      </c>
      <c r="C2193" s="87" t="s">
        <v>191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862</v>
      </c>
      <c r="H2193" s="110" t="s">
        <v>853</v>
      </c>
      <c r="I2193" s="110" t="s">
        <v>972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137</v>
      </c>
      <c r="AA2193" s="79"/>
    </row>
    <row r="2194" spans="1:27">
      <c r="A2194" s="88" t="s">
        <v>971</v>
      </c>
      <c r="B2194" s="83" t="str">
        <f t="shared" si="547"/>
        <v>REPORT_STS_SAKUSEIZUMI</v>
      </c>
      <c r="C2194" s="87" t="s">
        <v>191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862</v>
      </c>
      <c r="H2194" s="110" t="s">
        <v>853</v>
      </c>
      <c r="I2194" s="110" t="s">
        <v>970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137</v>
      </c>
      <c r="AA2194" s="79"/>
    </row>
    <row r="2195" spans="1:27">
      <c r="A2195" s="88" t="s">
        <v>969</v>
      </c>
      <c r="B2195" s="83" t="str">
        <f t="shared" si="547"/>
        <v>REPORT_STS_SHOKANCHO_MIKAKUNIN</v>
      </c>
      <c r="C2195" s="87" t="s">
        <v>191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862</v>
      </c>
      <c r="H2195" s="110" t="s">
        <v>853</v>
      </c>
      <c r="I2195" s="110" t="s">
        <v>966</v>
      </c>
      <c r="J2195" s="110" t="s">
        <v>968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137</v>
      </c>
      <c r="AA2195" s="79"/>
    </row>
    <row r="2196" spans="1:27">
      <c r="A2196" s="88" t="s">
        <v>967</v>
      </c>
      <c r="B2196" s="83" t="str">
        <f t="shared" si="547"/>
        <v>REPORT_STS_SHOKANCHO_KAKUNIN</v>
      </c>
      <c r="C2196" s="87" t="s">
        <v>191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862</v>
      </c>
      <c r="H2196" s="110" t="s">
        <v>853</v>
      </c>
      <c r="I2196" s="110" t="s">
        <v>966</v>
      </c>
      <c r="J2196" s="110" t="s">
        <v>529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137</v>
      </c>
      <c r="AA2196" s="79"/>
    </row>
    <row r="2197" spans="1:27">
      <c r="A2197" s="88" t="s">
        <v>965</v>
      </c>
      <c r="B2197" s="83" t="str">
        <f t="shared" si="547"/>
        <v>NENKIMBARAI_NASHI</v>
      </c>
      <c r="C2197" s="87" t="s">
        <v>191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960</v>
      </c>
      <c r="H2197" s="110" t="s">
        <v>340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137</v>
      </c>
      <c r="AA2197" s="79"/>
    </row>
    <row r="2198" spans="1:27">
      <c r="A2198" s="88" t="s">
        <v>964</v>
      </c>
      <c r="B2198" s="83" t="str">
        <f t="shared" si="547"/>
        <v>NENKIMBARAI_3_YEAR</v>
      </c>
      <c r="C2198" s="87" t="s">
        <v>191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960</v>
      </c>
      <c r="H2198" s="105">
        <v>3</v>
      </c>
      <c r="I2198" s="105" t="s">
        <v>959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137</v>
      </c>
      <c r="AA2198" s="79"/>
    </row>
    <row r="2199" spans="1:27">
      <c r="A2199" s="88" t="s">
        <v>963</v>
      </c>
      <c r="B2199" s="83" t="str">
        <f t="shared" si="547"/>
        <v>NENKIMBARAI_4_YEAR</v>
      </c>
      <c r="C2199" s="87" t="s">
        <v>191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960</v>
      </c>
      <c r="H2199" s="105">
        <v>4</v>
      </c>
      <c r="I2199" s="105" t="s">
        <v>959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137</v>
      </c>
      <c r="AA2199" s="79"/>
    </row>
    <row r="2200" spans="1:27">
      <c r="A2200" s="88" t="s">
        <v>962</v>
      </c>
      <c r="B2200" s="83" t="str">
        <f t="shared" si="547"/>
        <v>NENKIMBARAI_5_YEAR</v>
      </c>
      <c r="C2200" s="87" t="s">
        <v>191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960</v>
      </c>
      <c r="H2200" s="105">
        <v>5</v>
      </c>
      <c r="I2200" s="105" t="s">
        <v>959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137</v>
      </c>
      <c r="AA2200" s="79"/>
    </row>
    <row r="2201" spans="1:27">
      <c r="A2201" s="88" t="s">
        <v>961</v>
      </c>
      <c r="B2201" s="83" t="str">
        <f t="shared" si="547"/>
        <v>NENKIMBARAI_10_YEAR</v>
      </c>
      <c r="C2201" s="87" t="s">
        <v>191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960</v>
      </c>
      <c r="H2201" s="105">
        <v>10</v>
      </c>
      <c r="I2201" s="105" t="s">
        <v>959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137</v>
      </c>
      <c r="AA2201" s="79"/>
    </row>
    <row r="2202" spans="1:27">
      <c r="A2202" s="88" t="s">
        <v>958</v>
      </c>
      <c r="B2202" s="83" t="str">
        <f t="shared" si="547"/>
        <v>SOMPO_PLAN_KB_OGATA</v>
      </c>
      <c r="C2202" s="87" t="s">
        <v>191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837</v>
      </c>
      <c r="H2202" s="105" t="s">
        <v>955</v>
      </c>
      <c r="I2202" s="105" t="s">
        <v>177</v>
      </c>
      <c r="J2202" s="105" t="s">
        <v>957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137</v>
      </c>
      <c r="AA2202" s="79"/>
    </row>
    <row r="2203" spans="1:27">
      <c r="A2203" s="88" t="s">
        <v>956</v>
      </c>
      <c r="B2203" s="83" t="str">
        <f t="shared" si="547"/>
        <v>SOMPO_PLAN_KB_SHUSHIN</v>
      </c>
      <c r="C2203" s="87" t="s">
        <v>191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837</v>
      </c>
      <c r="H2203" s="105" t="s">
        <v>955</v>
      </c>
      <c r="I2203" s="105" t="s">
        <v>177</v>
      </c>
      <c r="J2203" s="105" t="s">
        <v>954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137</v>
      </c>
      <c r="AA2203" s="79"/>
    </row>
    <row r="2204" spans="1:27">
      <c r="A2204" s="88" t="s">
        <v>953</v>
      </c>
      <c r="B2204" s="83" t="str">
        <f t="shared" si="547"/>
        <v>CHNL_AG</v>
      </c>
      <c r="C2204" s="87" t="s">
        <v>191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702</v>
      </c>
      <c r="H2204" s="105" t="s">
        <v>952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137</v>
      </c>
      <c r="AA2204" s="79"/>
    </row>
    <row r="2205" spans="1:27">
      <c r="A2205" s="88" t="s">
        <v>951</v>
      </c>
      <c r="B2205" s="83" t="str">
        <f t="shared" si="547"/>
        <v>CHNL_CO</v>
      </c>
      <c r="C2205" s="87" t="s">
        <v>191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702</v>
      </c>
      <c r="H2205" s="105" t="s">
        <v>950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137</v>
      </c>
      <c r="AA2205" s="79"/>
    </row>
    <row r="2206" spans="1:27">
      <c r="A2206" s="88" t="s">
        <v>949</v>
      </c>
      <c r="B2206" s="83" t="str">
        <f t="shared" si="547"/>
        <v>CHNL_CCI</v>
      </c>
      <c r="C2206" s="87" t="s">
        <v>191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702</v>
      </c>
      <c r="H2206" s="105" t="s">
        <v>255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137</v>
      </c>
      <c r="AA2206" s="79"/>
    </row>
    <row r="2207" spans="1:27">
      <c r="A2207" s="88" t="s">
        <v>948</v>
      </c>
      <c r="B2207" s="83" t="str">
        <f t="shared" si="547"/>
        <v>CHNL_FA</v>
      </c>
      <c r="C2207" s="87" t="s">
        <v>191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702</v>
      </c>
      <c r="H2207" s="105" t="s">
        <v>947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137</v>
      </c>
      <c r="AA2207" s="79"/>
    </row>
    <row r="2208" spans="1:27">
      <c r="A2208" s="88" t="s">
        <v>946</v>
      </c>
      <c r="B2208" s="83" t="str">
        <f t="shared" si="547"/>
        <v>SUB_CHNL_NASHI</v>
      </c>
      <c r="C2208" s="87" t="s">
        <v>191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943</v>
      </c>
      <c r="H2208" s="105" t="s">
        <v>945</v>
      </c>
      <c r="I2208" s="105" t="s">
        <v>518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137</v>
      </c>
      <c r="AA2208" s="79"/>
    </row>
    <row r="2209" spans="1:27">
      <c r="A2209" s="88" t="s">
        <v>944</v>
      </c>
      <c r="B2209" s="83" t="str">
        <f t="shared" si="547"/>
        <v>SUB_CHNL_CC_FS</v>
      </c>
      <c r="C2209" s="87" t="s">
        <v>191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943</v>
      </c>
      <c r="H2209" s="105" t="s">
        <v>702</v>
      </c>
      <c r="I2209" s="105" t="s">
        <v>942</v>
      </c>
      <c r="J2209" s="105" t="s">
        <v>941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137</v>
      </c>
      <c r="AA2209" s="79"/>
    </row>
    <row r="2210" spans="1:27">
      <c r="A2210" s="88" t="s">
        <v>940</v>
      </c>
      <c r="B2210" s="83" t="str">
        <f t="shared" si="547"/>
        <v>KINGAKU_TANI_EN</v>
      </c>
      <c r="C2210" s="87" t="s">
        <v>191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414</v>
      </c>
      <c r="H2210" s="105" t="s">
        <v>751</v>
      </c>
      <c r="I2210" s="105" t="s">
        <v>939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137</v>
      </c>
      <c r="AA2210" s="79"/>
    </row>
    <row r="2211" spans="1:27">
      <c r="A2211" s="88" t="s">
        <v>938</v>
      </c>
      <c r="B2211" s="83" t="str">
        <f t="shared" si="547"/>
        <v>KINGAKU_TANI_MANEN</v>
      </c>
      <c r="C2211" s="87" t="s">
        <v>191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414</v>
      </c>
      <c r="H2211" s="105" t="s">
        <v>751</v>
      </c>
      <c r="I2211" s="105" t="s">
        <v>937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137</v>
      </c>
      <c r="AA2211" s="79"/>
    </row>
    <row r="2212" spans="1:27">
      <c r="A2212" s="88" t="s">
        <v>936</v>
      </c>
      <c r="B2212" s="83" t="str">
        <f t="shared" si="547"/>
        <v>UMU_KB_NASHI</v>
      </c>
      <c r="C2212" s="87" t="s">
        <v>191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341</v>
      </c>
      <c r="H2212" s="105" t="s">
        <v>177</v>
      </c>
      <c r="I2212" s="105" t="s">
        <v>340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137</v>
      </c>
      <c r="AA2212" s="79"/>
    </row>
    <row r="2213" spans="1:27">
      <c r="A2213" s="88" t="s">
        <v>935</v>
      </c>
      <c r="B2213" s="83" t="str">
        <f t="shared" si="547"/>
        <v>UMU_KB_ARI</v>
      </c>
      <c r="C2213" s="87" t="s">
        <v>191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341</v>
      </c>
      <c r="H2213" s="105" t="s">
        <v>177</v>
      </c>
      <c r="I2213" s="105" t="s">
        <v>343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137</v>
      </c>
      <c r="AA2213" s="79"/>
    </row>
    <row r="2214" spans="1:27">
      <c r="A2214" s="88" t="s">
        <v>934</v>
      </c>
      <c r="B2214" s="83" t="str">
        <f t="shared" si="547"/>
        <v>SHINTO_KB_3_SHINTO_IJO</v>
      </c>
      <c r="C2214" s="87" t="s">
        <v>191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931</v>
      </c>
      <c r="H2214" s="105" t="s">
        <v>177</v>
      </c>
      <c r="I2214" s="108">
        <v>3</v>
      </c>
      <c r="J2214" s="105" t="s">
        <v>931</v>
      </c>
      <c r="K2214" s="103" t="s">
        <v>933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137</v>
      </c>
      <c r="AA2214" s="79"/>
    </row>
    <row r="2215" spans="1:27">
      <c r="A2215" s="88" t="s">
        <v>932</v>
      </c>
      <c r="B2215" s="83" t="str">
        <f t="shared" si="547"/>
        <v>SHINTO_KB_KONYAKU_NAIEN</v>
      </c>
      <c r="C2215" s="87" t="s">
        <v>191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931</v>
      </c>
      <c r="H2215" s="105" t="s">
        <v>177</v>
      </c>
      <c r="I2215" s="105" t="s">
        <v>930</v>
      </c>
      <c r="J2215" s="105" t="s">
        <v>929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137</v>
      </c>
      <c r="AA2215" s="79"/>
    </row>
    <row r="2216" spans="1:27">
      <c r="A2216" s="88" t="s">
        <v>928</v>
      </c>
      <c r="B2216" s="83" t="str">
        <f t="shared" si="547"/>
        <v>CHILD_KB_JISSHI</v>
      </c>
      <c r="C2216" s="87" t="s">
        <v>191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665</v>
      </c>
      <c r="H2216" s="105" t="s">
        <v>177</v>
      </c>
      <c r="I2216" s="105" t="s">
        <v>927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137</v>
      </c>
      <c r="AA2216" s="79"/>
    </row>
    <row r="2217" spans="1:27">
      <c r="A2217" s="88" t="s">
        <v>926</v>
      </c>
      <c r="B2217" s="83" t="str">
        <f t="shared" si="547"/>
        <v>CHILD_KB_OTHER</v>
      </c>
      <c r="C2217" s="87" t="s">
        <v>191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665</v>
      </c>
      <c r="H2217" s="105" t="s">
        <v>177</v>
      </c>
      <c r="I2217" s="105" t="s">
        <v>925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137</v>
      </c>
      <c r="AA2217" s="79"/>
    </row>
    <row r="2218" spans="1:27">
      <c r="A2218" s="88" t="s">
        <v>924</v>
      </c>
      <c r="B2218" s="83" t="str">
        <f t="shared" si="547"/>
        <v>KB_B_PLCY</v>
      </c>
      <c r="C2218" s="87" t="s">
        <v>191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288</v>
      </c>
      <c r="H2218" s="105" t="s">
        <v>765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137</v>
      </c>
      <c r="AA2218" s="79"/>
    </row>
    <row r="2219" spans="1:27">
      <c r="A2219" s="88" t="s">
        <v>923</v>
      </c>
      <c r="B2219" s="83" t="str">
        <f t="shared" si="547"/>
        <v>KB_RIDER</v>
      </c>
      <c r="C2219" s="87" t="s">
        <v>191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288</v>
      </c>
      <c r="H2219" s="105" t="s">
        <v>764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137</v>
      </c>
      <c r="AA2219" s="79"/>
    </row>
    <row r="2220" spans="1:27">
      <c r="A2220" s="88" t="s">
        <v>922</v>
      </c>
      <c r="B2220" s="83" t="str">
        <f t="shared" si="547"/>
        <v>SELECT_KB_BIRTH</v>
      </c>
      <c r="C2220" s="87" t="s">
        <v>191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920</v>
      </c>
      <c r="H2220" s="107" t="s">
        <v>288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137</v>
      </c>
      <c r="AA2220" s="79"/>
    </row>
    <row r="2221" spans="1:27">
      <c r="A2221" s="88" t="s">
        <v>921</v>
      </c>
      <c r="B2221" s="83" t="str">
        <f t="shared" si="547"/>
        <v>SELECT_KB_AGE</v>
      </c>
      <c r="C2221" s="87" t="s">
        <v>191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920</v>
      </c>
      <c r="H2221" s="107" t="s">
        <v>288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137</v>
      </c>
      <c r="AA2221" s="79"/>
    </row>
    <row r="2222" spans="1:27">
      <c r="A2222" s="88" t="s">
        <v>919</v>
      </c>
      <c r="B2222" s="83" t="str">
        <f t="shared" si="547"/>
        <v>RIDER_AUTO_ADD_FLG_OFF</v>
      </c>
      <c r="C2222" s="87" t="s">
        <v>191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764</v>
      </c>
      <c r="H2222" s="105" t="s">
        <v>917</v>
      </c>
      <c r="I2222" s="105" t="s">
        <v>916</v>
      </c>
      <c r="J2222" s="105" t="s">
        <v>465</v>
      </c>
      <c r="K2222" s="105" t="s">
        <v>914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137</v>
      </c>
      <c r="AA2222" s="79"/>
    </row>
    <row r="2223" spans="1:27">
      <c r="A2223" s="88" t="s">
        <v>918</v>
      </c>
      <c r="B2223" s="83" t="str">
        <f t="shared" si="547"/>
        <v>RIDER_AUTO_ADD_FLG_ON</v>
      </c>
      <c r="C2223" s="87" t="s">
        <v>191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764</v>
      </c>
      <c r="H2223" s="105" t="s">
        <v>917</v>
      </c>
      <c r="I2223" s="105" t="s">
        <v>916</v>
      </c>
      <c r="J2223" s="105" t="s">
        <v>465</v>
      </c>
      <c r="K2223" s="105" t="s">
        <v>911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137</v>
      </c>
      <c r="AA2223" s="79"/>
    </row>
    <row r="2224" spans="1:27">
      <c r="A2224" s="88" t="s">
        <v>915</v>
      </c>
      <c r="B2224" s="83" t="str">
        <f t="shared" si="547"/>
        <v>RIDER_MOD_FLG_OFF</v>
      </c>
      <c r="C2224" s="87" t="s">
        <v>191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764</v>
      </c>
      <c r="H2224" s="105" t="s">
        <v>659</v>
      </c>
      <c r="I2224" s="105" t="s">
        <v>912</v>
      </c>
      <c r="J2224" s="105" t="s">
        <v>465</v>
      </c>
      <c r="K2224" s="105" t="s">
        <v>914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137</v>
      </c>
      <c r="AA2224" s="79"/>
    </row>
    <row r="2225" spans="1:27">
      <c r="A2225" s="88" t="s">
        <v>913</v>
      </c>
      <c r="B2225" s="83" t="str">
        <f t="shared" si="547"/>
        <v>RIDER_MOD_FLG_ON</v>
      </c>
      <c r="C2225" s="87" t="s">
        <v>191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764</v>
      </c>
      <c r="H2225" s="105" t="s">
        <v>659</v>
      </c>
      <c r="I2225" s="105" t="s">
        <v>912</v>
      </c>
      <c r="J2225" s="105" t="s">
        <v>465</v>
      </c>
      <c r="K2225" s="105" t="s">
        <v>911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137</v>
      </c>
      <c r="AA2225" s="79"/>
    </row>
    <row r="2226" spans="1:27">
      <c r="A2226" s="88" t="s">
        <v>910</v>
      </c>
      <c r="B2226" s="83" t="str">
        <f t="shared" si="547"/>
        <v>RIDER_DP_JOKEN_KB_TSUJO</v>
      </c>
      <c r="C2226" s="87" t="s">
        <v>191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764</v>
      </c>
      <c r="H2226" s="105" t="s">
        <v>906</v>
      </c>
      <c r="I2226" s="105" t="s">
        <v>740</v>
      </c>
      <c r="J2226" s="105" t="s">
        <v>177</v>
      </c>
      <c r="K2226" s="105" t="s">
        <v>302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137</v>
      </c>
      <c r="AA2226" s="79"/>
    </row>
    <row r="2227" spans="1:27">
      <c r="A2227" s="88" t="s">
        <v>909</v>
      </c>
      <c r="B2227" s="83" t="str">
        <f t="shared" si="547"/>
        <v>RIDER_DP_JOKEN_KB_HAITA</v>
      </c>
      <c r="C2227" s="87" t="s">
        <v>191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764</v>
      </c>
      <c r="H2227" s="105" t="s">
        <v>906</v>
      </c>
      <c r="I2227" s="105" t="s">
        <v>740</v>
      </c>
      <c r="J2227" s="105" t="s">
        <v>177</v>
      </c>
      <c r="K2227" s="105" t="s">
        <v>908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137</v>
      </c>
      <c r="AA2227" s="79"/>
    </row>
    <row r="2228" spans="1:27">
      <c r="A2228" s="88" t="s">
        <v>907</v>
      </c>
      <c r="B2228" s="83" t="str">
        <f t="shared" si="547"/>
        <v>RIDER_DP_JOKEN_KB_DP</v>
      </c>
      <c r="C2228" s="87" t="s">
        <v>191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764</v>
      </c>
      <c r="H2228" s="105" t="s">
        <v>906</v>
      </c>
      <c r="I2228" s="105" t="s">
        <v>740</v>
      </c>
      <c r="J2228" s="105" t="s">
        <v>177</v>
      </c>
      <c r="K2228" s="105" t="s">
        <v>906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137</v>
      </c>
      <c r="AA2228" s="79"/>
    </row>
    <row r="2229" spans="1:27">
      <c r="A2229" s="88" t="s">
        <v>905</v>
      </c>
      <c r="B2229" s="83" t="str">
        <f t="shared" si="547"/>
        <v>NAIKI_HOST_CHK_STS_MISHORI</v>
      </c>
      <c r="C2229" s="87" t="s">
        <v>191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855</v>
      </c>
      <c r="H2229" s="103" t="s">
        <v>854</v>
      </c>
      <c r="I2229" s="103" t="s">
        <v>794</v>
      </c>
      <c r="J2229" s="103" t="s">
        <v>853</v>
      </c>
      <c r="K2229" s="103" t="s">
        <v>904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137</v>
      </c>
      <c r="AA2229" s="79"/>
    </row>
    <row r="2230" spans="1:27">
      <c r="A2230" s="88" t="s">
        <v>903</v>
      </c>
      <c r="B2230" s="83" t="str">
        <f t="shared" si="547"/>
        <v>NAIKI_HOST_CHK_STS_CLEAR</v>
      </c>
      <c r="C2230" s="87" t="s">
        <v>191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855</v>
      </c>
      <c r="H2230" s="103" t="s">
        <v>854</v>
      </c>
      <c r="I2230" s="103" t="s">
        <v>794</v>
      </c>
      <c r="J2230" s="103" t="s">
        <v>853</v>
      </c>
      <c r="K2230" s="103" t="s">
        <v>902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137</v>
      </c>
      <c r="AA2230" s="79"/>
    </row>
    <row r="2231" spans="1:27">
      <c r="A2231" s="88" t="s">
        <v>901</v>
      </c>
      <c r="B2231" s="83" t="str">
        <f t="shared" si="547"/>
        <v>NAIKI_HOST_CHK_STS_ERR</v>
      </c>
      <c r="C2231" s="87" t="s">
        <v>191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855</v>
      </c>
      <c r="H2231" s="103" t="s">
        <v>854</v>
      </c>
      <c r="I2231" s="103" t="s">
        <v>794</v>
      </c>
      <c r="J2231" s="103" t="s">
        <v>853</v>
      </c>
      <c r="K2231" s="103" t="s">
        <v>900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137</v>
      </c>
      <c r="AA2231" s="79"/>
    </row>
    <row r="2232" spans="1:27">
      <c r="A2232" s="88" t="s">
        <v>899</v>
      </c>
      <c r="B2232" s="83" t="str">
        <f t="shared" si="547"/>
        <v>M_RYO_RT_KENSAKU_KEY_SETTEI</v>
      </c>
      <c r="C2232" s="87" t="s">
        <v>159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158</v>
      </c>
      <c r="H2232" s="85" t="s">
        <v>898</v>
      </c>
      <c r="I2232" s="85" t="s">
        <v>897</v>
      </c>
      <c r="J2232" s="85" t="s">
        <v>783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137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191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137</v>
      </c>
      <c r="AA2233" s="79"/>
    </row>
    <row r="2234" spans="1:27">
      <c r="A2234" s="88" t="s">
        <v>896</v>
      </c>
      <c r="B2234" s="83" t="str">
        <f t="shared" si="547"/>
        <v>ZEIKOKA_SETSUMEI</v>
      </c>
      <c r="C2234" s="87" t="s">
        <v>191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874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137</v>
      </c>
      <c r="AA2234" s="79"/>
    </row>
    <row r="2235" spans="1:27">
      <c r="A2235" s="88" t="s">
        <v>895</v>
      </c>
      <c r="B2235" s="83" t="str">
        <f t="shared" si="547"/>
        <v>ADV_HOHO</v>
      </c>
      <c r="C2235" s="87" t="s">
        <v>191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894</v>
      </c>
      <c r="H2235" s="85" t="s">
        <v>193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137</v>
      </c>
      <c r="AA2235" s="79"/>
    </row>
    <row r="2236" spans="1:27">
      <c r="A2236" s="88" t="s">
        <v>893</v>
      </c>
      <c r="B2236" s="83" t="str">
        <f t="shared" si="547"/>
        <v>ZOKUGARA</v>
      </c>
      <c r="C2236" s="87" t="s">
        <v>191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893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137</v>
      </c>
      <c r="AA2236" s="79"/>
    </row>
    <row r="2237" spans="1:27">
      <c r="A2237" s="88" t="s">
        <v>892</v>
      </c>
      <c r="B2237" s="83" t="str">
        <f t="shared" si="547"/>
        <v>SELECT_HOHO</v>
      </c>
      <c r="C2237" s="87" t="s">
        <v>191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857</v>
      </c>
      <c r="H2237" s="85" t="s">
        <v>193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137</v>
      </c>
      <c r="AA2237" s="79"/>
    </row>
    <row r="2238" spans="1:27">
      <c r="A2238" s="88" t="s">
        <v>891</v>
      </c>
      <c r="B2238" s="83" t="str">
        <f t="shared" si="547"/>
        <v>OFFER_KEIRO_SUB</v>
      </c>
      <c r="C2238" s="87" t="s">
        <v>191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199</v>
      </c>
      <c r="H2238" s="85" t="s">
        <v>198</v>
      </c>
      <c r="I2238" s="85" t="s">
        <v>882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137</v>
      </c>
      <c r="AA2238" s="79"/>
    </row>
    <row r="2239" spans="1:27">
      <c r="A2239" s="88" t="s">
        <v>890</v>
      </c>
      <c r="B2239" s="83" t="str">
        <f t="shared" si="547"/>
        <v>OFFER_KEIRO_TORIHO</v>
      </c>
      <c r="C2239" s="87" t="s">
        <v>191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199</v>
      </c>
      <c r="H2239" s="85" t="s">
        <v>198</v>
      </c>
      <c r="I2239" s="85" t="s">
        <v>889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137</v>
      </c>
      <c r="AA2239" s="79"/>
    </row>
    <row r="2240" spans="1:27">
      <c r="A2240" s="88" t="s">
        <v>888</v>
      </c>
      <c r="B2240" s="83" t="str">
        <f t="shared" si="547"/>
        <v>HARAIKOMI</v>
      </c>
      <c r="C2240" s="87" t="s">
        <v>191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349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137</v>
      </c>
      <c r="AA2240" s="79"/>
    </row>
    <row r="2241" spans="1:27">
      <c r="A2241" s="88" t="s">
        <v>887</v>
      </c>
      <c r="B2241" s="83" t="str">
        <f t="shared" si="547"/>
        <v>NAIKIMBOSHU</v>
      </c>
      <c r="C2241" s="87" t="s">
        <v>191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886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137</v>
      </c>
      <c r="AA2241" s="79"/>
    </row>
    <row r="2242" spans="1:27">
      <c r="A2242" s="88" t="s">
        <v>885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191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875</v>
      </c>
      <c r="H2242" s="85" t="s">
        <v>298</v>
      </c>
      <c r="I2242" s="85" t="s">
        <v>882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137</v>
      </c>
      <c r="AA2242" s="79"/>
    </row>
    <row r="2243" spans="1:27">
      <c r="A2243" s="88" t="s">
        <v>884</v>
      </c>
      <c r="B2243" s="83" t="str">
        <f t="shared" si="563"/>
        <v>STAFF_PLCY_SUB</v>
      </c>
      <c r="C2243" s="87" t="s">
        <v>191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883</v>
      </c>
      <c r="H2243" s="85" t="s">
        <v>298</v>
      </c>
      <c r="I2243" s="85" t="s">
        <v>882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137</v>
      </c>
      <c r="AA2243" s="79"/>
    </row>
    <row r="2244" spans="1:27">
      <c r="A2244" s="88" t="s">
        <v>881</v>
      </c>
      <c r="B2244" s="83" t="str">
        <f t="shared" si="563"/>
        <v>SHOKUMU</v>
      </c>
      <c r="C2244" s="87" t="s">
        <v>191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881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137</v>
      </c>
      <c r="AA2244" s="79"/>
    </row>
    <row r="2245" spans="1:27">
      <c r="A2245" s="88" t="s">
        <v>880</v>
      </c>
      <c r="B2245" s="83" t="str">
        <f t="shared" si="563"/>
        <v>NENGO</v>
      </c>
      <c r="C2245" s="87" t="s">
        <v>191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880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137</v>
      </c>
      <c r="AA2245" s="79"/>
    </row>
    <row r="2246" spans="1:27">
      <c r="A2246" s="88" t="s">
        <v>879</v>
      </c>
      <c r="B2246" s="83" t="str">
        <f t="shared" si="563"/>
        <v>CORP_KAKUNIN_DOC</v>
      </c>
      <c r="C2246" s="87" t="s">
        <v>191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195</v>
      </c>
      <c r="H2246" s="85" t="s">
        <v>194</v>
      </c>
      <c r="I2246" s="85" t="s">
        <v>878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137</v>
      </c>
      <c r="AA2246" s="79"/>
    </row>
    <row r="2247" spans="1:27">
      <c r="A2247" s="88" t="s">
        <v>877</v>
      </c>
      <c r="B2247" s="83" t="str">
        <f t="shared" si="563"/>
        <v>DAIHYO_KAKUNIN_HOHO</v>
      </c>
      <c r="C2247" s="87" t="s">
        <v>191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280</v>
      </c>
      <c r="H2247" s="85" t="s">
        <v>194</v>
      </c>
      <c r="I2247" s="85" t="s">
        <v>193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137</v>
      </c>
      <c r="AA2247" s="79"/>
    </row>
    <row r="2248" spans="1:27">
      <c r="A2248" s="88" t="s">
        <v>876</v>
      </c>
      <c r="B2248" s="83" t="str">
        <f t="shared" si="563"/>
        <v>HONNIN_KAKUNIN_HOHO</v>
      </c>
      <c r="C2248" s="87" t="s">
        <v>191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875</v>
      </c>
      <c r="H2248" s="85" t="s">
        <v>194</v>
      </c>
      <c r="I2248" s="85" t="s">
        <v>193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137</v>
      </c>
      <c r="AA2248" s="79"/>
    </row>
    <row r="2249" spans="1:27">
      <c r="A2249" s="88" t="s">
        <v>874</v>
      </c>
      <c r="B2249" s="83" t="str">
        <f t="shared" si="563"/>
        <v>ZEIKOKA</v>
      </c>
      <c r="C2249" s="87" t="s">
        <v>191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874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137</v>
      </c>
      <c r="AA2249" s="79"/>
    </row>
    <row r="2250" spans="1:27">
      <c r="A2250" s="88" t="s">
        <v>873</v>
      </c>
      <c r="B2250" s="83" t="str">
        <f t="shared" si="563"/>
        <v>ATAMAKIN_JUTO_HOSHIKI</v>
      </c>
      <c r="C2250" s="87" t="s">
        <v>191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872</v>
      </c>
      <c r="H2250" s="85" t="s">
        <v>871</v>
      </c>
      <c r="I2250" s="85" t="s">
        <v>870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137</v>
      </c>
      <c r="AA2250" s="79"/>
    </row>
    <row r="2251" spans="1:27">
      <c r="A2251" s="88" t="s">
        <v>869</v>
      </c>
      <c r="B2251" s="83" t="str">
        <f t="shared" si="563"/>
        <v>SEKKEI_SHURUI</v>
      </c>
      <c r="C2251" s="87" t="s">
        <v>191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832</v>
      </c>
      <c r="H2251" s="85" t="s">
        <v>831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137</v>
      </c>
      <c r="AA2251" s="79"/>
    </row>
    <row r="2252" spans="1:27">
      <c r="A2252" s="88" t="s">
        <v>868</v>
      </c>
      <c r="B2252" s="83" t="str">
        <f t="shared" si="563"/>
        <v>NENSAI_CD</v>
      </c>
      <c r="C2252" s="87" t="s">
        <v>191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867</v>
      </c>
      <c r="H2252" s="85" t="s">
        <v>183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137</v>
      </c>
      <c r="AA2252" s="79"/>
    </row>
    <row r="2253" spans="1:27">
      <c r="A2253" s="88" t="s">
        <v>866</v>
      </c>
      <c r="B2253" s="83" t="str">
        <f t="shared" si="563"/>
        <v>HARAIKOMI_KIKAN</v>
      </c>
      <c r="C2253" s="87" t="s">
        <v>191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349</v>
      </c>
      <c r="H2253" s="85" t="s">
        <v>864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137</v>
      </c>
      <c r="AA2253" s="79"/>
    </row>
    <row r="2254" spans="1:27">
      <c r="A2254" s="88" t="s">
        <v>865</v>
      </c>
      <c r="B2254" s="83" t="str">
        <f t="shared" si="563"/>
        <v>HOKEN_KIKAN</v>
      </c>
      <c r="C2254" s="87" t="s">
        <v>191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360</v>
      </c>
      <c r="H2254" s="85" t="s">
        <v>864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137</v>
      </c>
      <c r="AA2254" s="79"/>
    </row>
    <row r="2255" spans="1:27">
      <c r="A2255" s="88" t="s">
        <v>863</v>
      </c>
      <c r="B2255" s="83" t="str">
        <f t="shared" si="563"/>
        <v>REPORT_STS</v>
      </c>
      <c r="C2255" s="87" t="s">
        <v>191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862</v>
      </c>
      <c r="H2255" s="85" t="s">
        <v>853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137</v>
      </c>
      <c r="AA2255" s="79"/>
    </row>
    <row r="2256" spans="1:27">
      <c r="A2256" s="88" t="s">
        <v>861</v>
      </c>
      <c r="B2256" s="83" t="str">
        <f t="shared" si="563"/>
        <v>KINGAKU_TANI</v>
      </c>
      <c r="C2256" s="87" t="s">
        <v>191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414</v>
      </c>
      <c r="H2256" s="85" t="s">
        <v>751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137</v>
      </c>
      <c r="AA2256" s="79"/>
    </row>
    <row r="2257" spans="1:27">
      <c r="A2257" s="88" t="s">
        <v>860</v>
      </c>
      <c r="B2257" s="83" t="str">
        <f t="shared" si="563"/>
        <v>UMU_KB</v>
      </c>
      <c r="C2257" s="87" t="s">
        <v>191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341</v>
      </c>
      <c r="H2257" s="85" t="s">
        <v>177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137</v>
      </c>
      <c r="AA2257" s="79"/>
    </row>
    <row r="2258" spans="1:27">
      <c r="A2258" s="88" t="s">
        <v>859</v>
      </c>
      <c r="B2258" s="83" t="str">
        <f t="shared" si="563"/>
        <v>CHILD_KB</v>
      </c>
      <c r="C2258" s="87" t="s">
        <v>191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665</v>
      </c>
      <c r="H2258" s="85" t="s">
        <v>177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137</v>
      </c>
      <c r="AA2258" s="79"/>
    </row>
    <row r="2259" spans="1:27">
      <c r="A2259" s="88" t="s">
        <v>858</v>
      </c>
      <c r="B2259" s="83" t="str">
        <f t="shared" si="563"/>
        <v>SELECT_KB</v>
      </c>
      <c r="C2259" s="87" t="s">
        <v>191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857</v>
      </c>
      <c r="H2259" s="85" t="s">
        <v>177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137</v>
      </c>
      <c r="AA2259" s="79"/>
    </row>
    <row r="2260" spans="1:27">
      <c r="A2260" s="88" t="s">
        <v>856</v>
      </c>
      <c r="B2260" s="83" t="str">
        <f t="shared" si="563"/>
        <v>NAIKI_HOST_CHK_STS</v>
      </c>
      <c r="C2260" s="87" t="s">
        <v>191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855</v>
      </c>
      <c r="H2260" s="85" t="s">
        <v>854</v>
      </c>
      <c r="I2260" s="85" t="s">
        <v>794</v>
      </c>
      <c r="J2260" s="85" t="s">
        <v>853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137</v>
      </c>
      <c r="AA2260" s="79"/>
    </row>
    <row r="2261" spans="1:27">
      <c r="A2261" s="88" t="s">
        <v>852</v>
      </c>
      <c r="B2261" s="83" t="str">
        <f t="shared" si="563"/>
        <v>KYUFUKIN_TYPE_MEISHO</v>
      </c>
      <c r="C2261" s="87" t="s">
        <v>851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850</v>
      </c>
      <c r="H2261" s="85" t="s">
        <v>849</v>
      </c>
      <c r="I2261" s="85" t="s">
        <v>348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137</v>
      </c>
      <c r="AA2261" s="79"/>
    </row>
    <row r="2262" spans="1:27">
      <c r="A2262" s="88" t="s">
        <v>848</v>
      </c>
      <c r="B2262" s="83" t="str">
        <f t="shared" si="563"/>
        <v>GUARD_CD</v>
      </c>
      <c r="C2262" s="87" t="s">
        <v>847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817</v>
      </c>
      <c r="H2262" s="85" t="s">
        <v>183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137</v>
      </c>
      <c r="AA2262" s="79"/>
    </row>
    <row r="2263" spans="1:27">
      <c r="A2263" s="88" t="s">
        <v>846</v>
      </c>
      <c r="B2263" s="83" t="str">
        <f t="shared" si="563"/>
        <v>GUARD_STR</v>
      </c>
      <c r="C2263" s="87" t="s">
        <v>734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817</v>
      </c>
      <c r="H2263" s="85" t="s">
        <v>725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137</v>
      </c>
      <c r="AA2263" s="79"/>
    </row>
    <row r="2264" spans="1:27">
      <c r="A2264" s="88" t="s">
        <v>845</v>
      </c>
      <c r="B2264" s="83" t="str">
        <f t="shared" si="563"/>
        <v>GUARD_DISP_SB</v>
      </c>
      <c r="C2264" s="87" t="s">
        <v>844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817</v>
      </c>
      <c r="H2264" s="85" t="s">
        <v>843</v>
      </c>
      <c r="I2264" s="85" t="s">
        <v>842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137</v>
      </c>
      <c r="AA2264" s="79"/>
    </row>
    <row r="2265" spans="1:27">
      <c r="A2265" s="88" t="s">
        <v>6481</v>
      </c>
      <c r="B2265" s="83" t="str">
        <f t="shared" si="563"/>
        <v>DAITAI_ID</v>
      </c>
      <c r="C2265" s="87" t="s">
        <v>6481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841</v>
      </c>
      <c r="H2265" s="85" t="s">
        <v>746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137</v>
      </c>
      <c r="AA2265" s="79"/>
    </row>
    <row r="2266" spans="1:27">
      <c r="A2266" s="88" t="s">
        <v>840</v>
      </c>
      <c r="B2266" s="83" t="str">
        <f t="shared" si="563"/>
        <v>SEKKEI_SHURUI_N_PLCY</v>
      </c>
      <c r="C2266" s="87" t="s">
        <v>528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832</v>
      </c>
      <c r="H2266" s="85" t="s">
        <v>831</v>
      </c>
      <c r="I2266" s="85" t="s">
        <v>839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137</v>
      </c>
      <c r="AA2266" s="79"/>
    </row>
    <row r="2267" spans="1:27">
      <c r="A2267" s="88" t="s">
        <v>838</v>
      </c>
      <c r="B2267" s="83" t="str">
        <f t="shared" si="563"/>
        <v>SEKKEI_SHURUI_SOMPO_SET</v>
      </c>
      <c r="C2267" s="87" t="s">
        <v>528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832</v>
      </c>
      <c r="H2267" s="85" t="s">
        <v>831</v>
      </c>
      <c r="I2267" s="85" t="s">
        <v>837</v>
      </c>
      <c r="J2267" s="85" t="s">
        <v>836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137</v>
      </c>
      <c r="AA2267" s="79"/>
    </row>
    <row r="2268" spans="1:27">
      <c r="A2268" s="88" t="s">
        <v>835</v>
      </c>
      <c r="B2268" s="83" t="str">
        <f t="shared" si="563"/>
        <v>SEKKEI_SHURUI_CV_PLCY</v>
      </c>
      <c r="C2268" s="87" t="s">
        <v>528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832</v>
      </c>
      <c r="H2268" s="85" t="s">
        <v>831</v>
      </c>
      <c r="I2268" s="85" t="s">
        <v>834</v>
      </c>
      <c r="J2268" s="85" t="s">
        <v>298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137</v>
      </c>
      <c r="AA2268" s="79"/>
    </row>
    <row r="2269" spans="1:27">
      <c r="A2269" s="88" t="s">
        <v>833</v>
      </c>
      <c r="B2269" s="83" t="str">
        <f t="shared" si="563"/>
        <v>SEKKEI_SHURUI_TOKUBETSU_P</v>
      </c>
      <c r="C2269" s="87" t="s">
        <v>528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832</v>
      </c>
      <c r="H2269" s="85" t="s">
        <v>831</v>
      </c>
      <c r="I2269" s="85" t="s">
        <v>830</v>
      </c>
      <c r="J2269" s="85" t="s">
        <v>391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137</v>
      </c>
      <c r="AA2269" s="79"/>
    </row>
    <row r="2270" spans="1:27">
      <c r="A2270" s="88" t="s">
        <v>829</v>
      </c>
      <c r="B2270" s="83" t="str">
        <f t="shared" si="563"/>
        <v>MUJIKO_TOKUSOKU_UMU_FLG</v>
      </c>
      <c r="C2270" s="87" t="s">
        <v>528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828</v>
      </c>
      <c r="H2270" s="85" t="s">
        <v>827</v>
      </c>
      <c r="I2270" s="85" t="s">
        <v>341</v>
      </c>
      <c r="J2270" s="85" t="s">
        <v>465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137</v>
      </c>
      <c r="AA2270" s="79"/>
    </row>
    <row r="2271" spans="1:27">
      <c r="A2271" s="88" t="s">
        <v>826</v>
      </c>
      <c r="B2271" s="83" t="str">
        <f t="shared" si="563"/>
        <v>SPC_JOKEN_CD</v>
      </c>
      <c r="C2271" s="87" t="s">
        <v>826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824</v>
      </c>
      <c r="H2271" s="85" t="s">
        <v>740</v>
      </c>
      <c r="I2271" s="85" t="s">
        <v>183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137</v>
      </c>
      <c r="AA2271" s="79"/>
    </row>
    <row r="2272" spans="1:27">
      <c r="A2272" s="88" t="s">
        <v>825</v>
      </c>
      <c r="B2272" s="83" t="str">
        <f t="shared" si="563"/>
        <v>SPC_JOKEN_SETSUMEI_BUN</v>
      </c>
      <c r="C2272" s="87" t="s">
        <v>825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824</v>
      </c>
      <c r="H2272" s="85" t="s">
        <v>740</v>
      </c>
      <c r="I2272" s="85" t="s">
        <v>823</v>
      </c>
      <c r="J2272" s="85" t="s">
        <v>822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137</v>
      </c>
      <c r="AA2272" s="79"/>
    </row>
    <row r="2273" spans="1:27">
      <c r="A2273" s="88" t="s">
        <v>821</v>
      </c>
      <c r="B2273" s="83" t="str">
        <f t="shared" si="563"/>
        <v>M_HNY_GUARD_CTRL</v>
      </c>
      <c r="C2273" s="87" t="s">
        <v>159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766</v>
      </c>
      <c r="H2273" s="99" t="s">
        <v>818</v>
      </c>
      <c r="I2273" s="85" t="s">
        <v>817</v>
      </c>
      <c r="J2273" s="85" t="s">
        <v>820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137</v>
      </c>
      <c r="AA2273" s="79"/>
    </row>
    <row r="2274" spans="1:27">
      <c r="A2274" s="88" t="s">
        <v>819</v>
      </c>
      <c r="B2274" s="83" t="str">
        <f t="shared" si="563"/>
        <v>M_HNY_GUARD</v>
      </c>
      <c r="C2274" s="87" t="s">
        <v>159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766</v>
      </c>
      <c r="H2274" s="99" t="s">
        <v>818</v>
      </c>
      <c r="I2274" s="85" t="s">
        <v>817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137</v>
      </c>
      <c r="AA2274" s="79"/>
    </row>
    <row r="2275" spans="1:27">
      <c r="A2275" s="88" t="s">
        <v>816</v>
      </c>
      <c r="B2275" s="83" t="str">
        <f t="shared" si="563"/>
        <v>M_HOSHO_CD_OUTPUT_CTRL</v>
      </c>
      <c r="C2275" s="87" t="s">
        <v>159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766</v>
      </c>
      <c r="H2275" s="99" t="s">
        <v>815</v>
      </c>
      <c r="I2275" s="85" t="s">
        <v>183</v>
      </c>
      <c r="J2275" s="85" t="s">
        <v>814</v>
      </c>
      <c r="K2275" s="85" t="s">
        <v>813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137</v>
      </c>
      <c r="AA2275" s="79"/>
    </row>
    <row r="2276" spans="1:27">
      <c r="A2276" s="88" t="s">
        <v>812</v>
      </c>
      <c r="B2276" s="83" t="str">
        <f t="shared" si="563"/>
        <v>LARGE_WARIBIKI_FLG</v>
      </c>
      <c r="C2276" s="87" t="s">
        <v>528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811</v>
      </c>
      <c r="H2276" s="85" t="s">
        <v>810</v>
      </c>
      <c r="I2276" s="85" t="s">
        <v>528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182</v>
      </c>
      <c r="AA2276" s="79"/>
    </row>
    <row r="2277" spans="1:27">
      <c r="A2277" s="88" t="s">
        <v>809</v>
      </c>
      <c r="B2277" s="83" t="str">
        <f t="shared" si="563"/>
        <v>CSS_CLASS_NAME</v>
      </c>
      <c r="C2277" s="87" t="s">
        <v>808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807</v>
      </c>
      <c r="H2277" s="85" t="s">
        <v>806</v>
      </c>
      <c r="I2277" s="85" t="s">
        <v>805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182</v>
      </c>
      <c r="AA2277" s="79"/>
    </row>
    <row r="2278" spans="1:27">
      <c r="A2278" s="88" t="s">
        <v>804</v>
      </c>
      <c r="B2278" s="83" t="str">
        <f t="shared" si="563"/>
        <v>BAISU_KB</v>
      </c>
      <c r="C2278" s="87" t="s">
        <v>180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799</v>
      </c>
      <c r="H2278" s="85" t="s">
        <v>288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137</v>
      </c>
      <c r="AA2278" s="79"/>
    </row>
    <row r="2279" spans="1:27">
      <c r="A2279" s="88" t="s">
        <v>803</v>
      </c>
      <c r="B2279" s="83" t="str">
        <f t="shared" si="563"/>
        <v>BAISU</v>
      </c>
      <c r="C2279" s="87" t="s">
        <v>802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799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137</v>
      </c>
      <c r="AA2279" s="79"/>
    </row>
    <row r="2280" spans="1:27">
      <c r="A2280" s="88" t="s">
        <v>801</v>
      </c>
      <c r="B2280" s="83" t="str">
        <f t="shared" si="563"/>
        <v>M_KYUFUKIN_BAISU</v>
      </c>
      <c r="C2280" s="87" t="s">
        <v>159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158</v>
      </c>
      <c r="H2280" s="85" t="s">
        <v>800</v>
      </c>
      <c r="I2280" s="85" t="s">
        <v>799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137</v>
      </c>
      <c r="AA2280" s="79"/>
    </row>
    <row r="2281" spans="1:27">
      <c r="A2281" s="88" t="s">
        <v>798</v>
      </c>
      <c r="B2281" s="83" t="str">
        <f t="shared" si="563"/>
        <v>AN_PLCY_DATE_CHK_AN_PLCY_DATE_20130401</v>
      </c>
      <c r="C2281" s="87" t="s">
        <v>191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763</v>
      </c>
      <c r="H2281" s="85" t="s">
        <v>795</v>
      </c>
      <c r="I2281" s="85" t="s">
        <v>794</v>
      </c>
      <c r="J2281" s="85" t="s">
        <v>763</v>
      </c>
      <c r="K2281" s="85" t="s">
        <v>795</v>
      </c>
      <c r="L2281" s="85" t="s">
        <v>797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137</v>
      </c>
      <c r="AA2281" s="79"/>
    </row>
    <row r="2282" spans="1:27">
      <c r="A2282" s="88" t="s">
        <v>796</v>
      </c>
      <c r="B2282" s="83" t="str">
        <f t="shared" si="563"/>
        <v>AN_PLCY_DATE_CHK</v>
      </c>
      <c r="C2282" s="87" t="s">
        <v>191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763</v>
      </c>
      <c r="H2282" s="85" t="s">
        <v>795</v>
      </c>
      <c r="I2282" s="85" t="s">
        <v>794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137</v>
      </c>
      <c r="AA2282" s="79"/>
    </row>
    <row r="2283" spans="1:27">
      <c r="A2283" s="88" t="s">
        <v>793</v>
      </c>
      <c r="B2283" s="83" t="str">
        <f t="shared" si="563"/>
        <v>P_RT_KEISAN_FLG</v>
      </c>
      <c r="C2283" s="87" t="s">
        <v>528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792</v>
      </c>
      <c r="H2283" s="85" t="s">
        <v>787</v>
      </c>
      <c r="I2283" s="85" t="s">
        <v>528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137</v>
      </c>
      <c r="AA2283" s="79"/>
    </row>
    <row r="2284" spans="1:27">
      <c r="A2284" s="88" t="s">
        <v>791</v>
      </c>
      <c r="B2284" s="83" t="str">
        <f t="shared" si="563"/>
        <v>W_RT_KEISAN_FLG</v>
      </c>
      <c r="C2284" s="87" t="s">
        <v>528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790</v>
      </c>
      <c r="H2284" s="85" t="s">
        <v>787</v>
      </c>
      <c r="I2284" s="85" t="s">
        <v>528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137</v>
      </c>
      <c r="AA2284" s="79"/>
    </row>
    <row r="2285" spans="1:27">
      <c r="A2285" s="88" t="s">
        <v>789</v>
      </c>
      <c r="B2285" s="83" t="str">
        <f t="shared" si="563"/>
        <v>V_RT_KEISAN_FLG</v>
      </c>
      <c r="C2285" s="87" t="s">
        <v>528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788</v>
      </c>
      <c r="H2285" s="85" t="s">
        <v>787</v>
      </c>
      <c r="I2285" s="85" t="s">
        <v>528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137</v>
      </c>
      <c r="AA2285" s="79"/>
    </row>
    <row r="2286" spans="1:27">
      <c r="A2286" s="88" t="s">
        <v>786</v>
      </c>
      <c r="B2286" s="83" t="str">
        <f t="shared" si="563"/>
        <v>IKKATSU_KOBETSU_SETTEI_FLG</v>
      </c>
      <c r="C2286" s="87" t="s">
        <v>528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785</v>
      </c>
      <c r="H2286" s="85" t="s">
        <v>784</v>
      </c>
      <c r="I2286" s="85" t="s">
        <v>783</v>
      </c>
      <c r="J2286" s="85" t="s">
        <v>528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137</v>
      </c>
      <c r="AA2286" s="79"/>
    </row>
    <row r="2287" spans="1:27">
      <c r="A2287" s="88" t="s">
        <v>782</v>
      </c>
      <c r="B2287" s="83" t="str">
        <f t="shared" si="563"/>
        <v>HAITOKINUKETORIHOHO_KB_DMY</v>
      </c>
      <c r="C2287" s="87" t="s">
        <v>191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781</v>
      </c>
      <c r="H2287" s="85" t="s">
        <v>288</v>
      </c>
      <c r="I2287" s="85" t="s">
        <v>780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137</v>
      </c>
      <c r="AA2287" s="79"/>
    </row>
    <row r="2288" spans="1:27">
      <c r="A2288" s="88" t="s">
        <v>779</v>
      </c>
      <c r="B2288" s="83" t="str">
        <f t="shared" si="563"/>
        <v>AUTO_UPDATE_HOKENKIKAN</v>
      </c>
      <c r="C2288" s="87" t="s">
        <v>778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770</v>
      </c>
      <c r="H2288" s="85" t="s">
        <v>769</v>
      </c>
      <c r="I2288" s="85" t="s">
        <v>777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137</v>
      </c>
      <c r="AA2288" s="79"/>
    </row>
    <row r="2289" spans="1:27">
      <c r="A2289" s="88" t="s">
        <v>776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775</v>
      </c>
      <c r="H2289" s="85" t="s">
        <v>769</v>
      </c>
      <c r="I2289" s="85" t="s">
        <v>772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137</v>
      </c>
      <c r="AA2289" s="79"/>
    </row>
    <row r="2290" spans="1:27">
      <c r="A2290" s="88" t="s">
        <v>774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773</v>
      </c>
      <c r="H2290" s="85" t="s">
        <v>772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137</v>
      </c>
      <c r="AA2290" s="79"/>
    </row>
    <row r="2291" spans="1:27">
      <c r="A2291" s="88" t="s">
        <v>771</v>
      </c>
      <c r="B2291" s="83" t="str">
        <f t="shared" si="563"/>
        <v>M_AUTO_UPDATE_HANTEI</v>
      </c>
      <c r="C2291" s="87" t="s">
        <v>158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158</v>
      </c>
      <c r="H2291" s="85" t="s">
        <v>770</v>
      </c>
      <c r="I2291" s="85" t="s">
        <v>769</v>
      </c>
      <c r="J2291" s="85" t="s">
        <v>768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137</v>
      </c>
      <c r="AA2291" s="79"/>
    </row>
    <row r="2292" spans="1:27">
      <c r="A2292" s="88" t="s">
        <v>767</v>
      </c>
      <c r="B2292" s="83" t="str">
        <f t="shared" si="563"/>
        <v>M_B_PLCY_RIDER_S_AN</v>
      </c>
      <c r="C2292" s="87" t="s">
        <v>158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766</v>
      </c>
      <c r="H2292" s="85" t="s">
        <v>765</v>
      </c>
      <c r="I2292" s="85" t="s">
        <v>764</v>
      </c>
      <c r="J2292" s="85" t="s">
        <v>190</v>
      </c>
      <c r="K2292" s="85" t="s">
        <v>763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137</v>
      </c>
      <c r="AA2292" s="79"/>
    </row>
    <row r="2293" spans="1:27">
      <c r="A2293" s="88" t="s">
        <v>762</v>
      </c>
      <c r="B2293" s="83" t="str">
        <f t="shared" si="563"/>
        <v>SAITEI_S</v>
      </c>
      <c r="C2293" s="87" t="s">
        <v>753</v>
      </c>
      <c r="D2293" s="82" t="str">
        <f t="shared" si="576"/>
        <v>Number</v>
      </c>
      <c r="E2293" s="82">
        <f t="shared" si="577"/>
        <v>11</v>
      </c>
      <c r="F2293" s="82" t="str">
        <f t="shared" si="578"/>
        <v/>
      </c>
      <c r="G2293" s="92" t="s">
        <v>760</v>
      </c>
      <c r="H2293" s="85" t="s">
        <v>190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137</v>
      </c>
      <c r="AA2293" s="79"/>
    </row>
    <row r="2294" spans="1:27">
      <c r="A2294" s="88" t="s">
        <v>761</v>
      </c>
      <c r="B2294" s="83" t="str">
        <f t="shared" si="563"/>
        <v>SAITEI_P</v>
      </c>
      <c r="C2294" s="87" t="s">
        <v>753</v>
      </c>
      <c r="D2294" s="82" t="str">
        <f t="shared" si="576"/>
        <v>Number</v>
      </c>
      <c r="E2294" s="82">
        <f t="shared" si="577"/>
        <v>11</v>
      </c>
      <c r="F2294" s="82" t="str">
        <f t="shared" si="578"/>
        <v/>
      </c>
      <c r="G2294" s="92" t="s">
        <v>760</v>
      </c>
      <c r="H2294" s="85" t="s">
        <v>391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137</v>
      </c>
      <c r="AA2294" s="79"/>
    </row>
    <row r="2295" spans="1:27">
      <c r="A2295" s="88" t="s">
        <v>759</v>
      </c>
      <c r="B2295" s="83" t="str">
        <f t="shared" si="563"/>
        <v>SAIKO_S</v>
      </c>
      <c r="C2295" s="87" t="s">
        <v>753</v>
      </c>
      <c r="D2295" s="82" t="str">
        <f t="shared" si="576"/>
        <v>Number</v>
      </c>
      <c r="E2295" s="82">
        <f t="shared" si="577"/>
        <v>11</v>
      </c>
      <c r="F2295" s="82" t="str">
        <f t="shared" si="578"/>
        <v/>
      </c>
      <c r="G2295" s="92" t="s">
        <v>757</v>
      </c>
      <c r="H2295" s="85" t="s">
        <v>190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137</v>
      </c>
      <c r="AA2295" s="79"/>
    </row>
    <row r="2296" spans="1:27">
      <c r="A2296" s="88" t="s">
        <v>758</v>
      </c>
      <c r="B2296" s="83" t="str">
        <f t="shared" si="563"/>
        <v>SAIKO_P</v>
      </c>
      <c r="C2296" s="87" t="s">
        <v>753</v>
      </c>
      <c r="D2296" s="82" t="str">
        <f t="shared" si="576"/>
        <v>Number</v>
      </c>
      <c r="E2296" s="82">
        <f t="shared" si="577"/>
        <v>11</v>
      </c>
      <c r="F2296" s="82" t="str">
        <f t="shared" si="578"/>
        <v/>
      </c>
      <c r="G2296" s="92" t="s">
        <v>757</v>
      </c>
      <c r="H2296" s="85" t="s">
        <v>391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137</v>
      </c>
      <c r="AA2296" s="79"/>
    </row>
    <row r="2297" spans="1:27">
      <c r="A2297" s="88" t="s">
        <v>756</v>
      </c>
      <c r="B2297" s="83" t="str">
        <f t="shared" si="563"/>
        <v>S_TORIATSUKAI_TANI</v>
      </c>
      <c r="C2297" s="87" t="s">
        <v>753</v>
      </c>
      <c r="D2297" s="82" t="str">
        <f t="shared" si="576"/>
        <v>Number</v>
      </c>
      <c r="E2297" s="82">
        <f t="shared" si="577"/>
        <v>11</v>
      </c>
      <c r="F2297" s="82" t="str">
        <f t="shared" si="578"/>
        <v/>
      </c>
      <c r="G2297" s="92" t="s">
        <v>190</v>
      </c>
      <c r="H2297" s="85" t="s">
        <v>755</v>
      </c>
      <c r="I2297" s="85" t="s">
        <v>751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137</v>
      </c>
      <c r="AA2297" s="79"/>
    </row>
    <row r="2298" spans="1:27">
      <c r="A2298" s="88" t="s">
        <v>754</v>
      </c>
      <c r="B2298" s="83" t="str">
        <f t="shared" si="563"/>
        <v>P_TORIATSUKAI_TANI</v>
      </c>
      <c r="C2298" s="87" t="s">
        <v>753</v>
      </c>
      <c r="D2298" s="82" t="str">
        <f t="shared" si="576"/>
        <v>Number</v>
      </c>
      <c r="E2298" s="82">
        <f t="shared" si="577"/>
        <v>11</v>
      </c>
      <c r="F2298" s="82" t="str">
        <f t="shared" si="578"/>
        <v/>
      </c>
      <c r="G2298" s="92" t="s">
        <v>391</v>
      </c>
      <c r="H2298" s="85" t="s">
        <v>752</v>
      </c>
      <c r="I2298" s="85" t="s">
        <v>751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137</v>
      </c>
      <c r="AA2298" s="79"/>
    </row>
    <row r="2299" spans="1:27">
      <c r="A2299" s="88" t="s">
        <v>750</v>
      </c>
      <c r="B2299" s="83" t="str">
        <f t="shared" si="563"/>
        <v>LV_3_ID</v>
      </c>
      <c r="C2299" s="87" t="s">
        <v>750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749</v>
      </c>
      <c r="H2299" s="94">
        <v>3</v>
      </c>
      <c r="I2299" s="85" t="s">
        <v>746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137</v>
      </c>
      <c r="AA2299" s="79"/>
    </row>
    <row r="2300" spans="1:27">
      <c r="A2300" s="88" t="s">
        <v>748</v>
      </c>
      <c r="B2300" s="83" t="str">
        <f t="shared" si="563"/>
        <v>LV_4_ID</v>
      </c>
      <c r="C2300" s="87" t="s">
        <v>748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747</v>
      </c>
      <c r="H2300" s="94">
        <v>4</v>
      </c>
      <c r="I2300" s="85" t="s">
        <v>746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137</v>
      </c>
      <c r="AA2300" s="79"/>
    </row>
    <row r="2301" spans="1:27">
      <c r="A2301" s="88" t="s">
        <v>745</v>
      </c>
      <c r="B2301" s="83" t="str">
        <f t="shared" si="563"/>
        <v>MEISAI_NO</v>
      </c>
      <c r="C2301" s="87" t="s">
        <v>744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743</v>
      </c>
      <c r="H2301" s="85" t="s">
        <v>164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137</v>
      </c>
      <c r="AA2301" s="79"/>
    </row>
    <row r="2302" spans="1:27">
      <c r="A2302" s="88" t="s">
        <v>742</v>
      </c>
      <c r="B2302" s="83" t="str">
        <f t="shared" si="563"/>
        <v>JOKEN_HANTEI_KANSU</v>
      </c>
      <c r="C2302" s="87" t="s">
        <v>741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740</v>
      </c>
      <c r="H2302" s="85" t="s">
        <v>739</v>
      </c>
      <c r="I2302" s="85" t="s">
        <v>738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137</v>
      </c>
      <c r="AA2302" s="79"/>
    </row>
    <row r="2303" spans="1:27">
      <c r="A2303" s="88" t="s">
        <v>737</v>
      </c>
      <c r="B2303" s="83" t="str">
        <f t="shared" si="563"/>
        <v>SHOHIN_EXCEPTION_MEISHO_TRUE</v>
      </c>
      <c r="C2303" s="87" t="s">
        <v>734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733</v>
      </c>
      <c r="H2303" s="85" t="s">
        <v>732</v>
      </c>
      <c r="I2303" s="85" t="s">
        <v>348</v>
      </c>
      <c r="J2303" s="85" t="s">
        <v>736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137</v>
      </c>
      <c r="AA2303" s="79"/>
    </row>
    <row r="2304" spans="1:27">
      <c r="A2304" s="88" t="s">
        <v>735</v>
      </c>
      <c r="B2304" s="83" t="str">
        <f t="shared" si="563"/>
        <v>SHOHIN_EXCEPTION_MEISHO_FALSE</v>
      </c>
      <c r="C2304" s="87" t="s">
        <v>734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733</v>
      </c>
      <c r="H2304" s="85" t="s">
        <v>732</v>
      </c>
      <c r="I2304" s="85" t="s">
        <v>348</v>
      </c>
      <c r="J2304" s="85" t="s">
        <v>731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137</v>
      </c>
      <c r="AA2304" s="79"/>
    </row>
    <row r="2305" spans="1:27">
      <c r="A2305" s="88" t="s">
        <v>730</v>
      </c>
      <c r="B2305" s="83" t="str">
        <f t="shared" si="563"/>
        <v>RPT_NAME</v>
      </c>
      <c r="C2305" s="87" t="s">
        <v>697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729</v>
      </c>
      <c r="H2305" s="85" t="s">
        <v>728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137</v>
      </c>
      <c r="AA2305" s="79"/>
    </row>
    <row r="2306" spans="1:27">
      <c r="A2306" s="88" t="s">
        <v>727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653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726</v>
      </c>
      <c r="H2306" s="85" t="s">
        <v>722</v>
      </c>
      <c r="I2306" s="85" t="s">
        <v>725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137</v>
      </c>
      <c r="AA2306" s="79"/>
    </row>
    <row r="2307" spans="1:27">
      <c r="A2307" s="88" t="s">
        <v>724</v>
      </c>
      <c r="B2307" s="83" t="str">
        <f t="shared" si="579"/>
        <v>OUTPUT_ORDER</v>
      </c>
      <c r="C2307" s="87" t="s">
        <v>723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722</v>
      </c>
      <c r="H2307" s="85" t="s">
        <v>721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182</v>
      </c>
      <c r="AA2307" s="79"/>
    </row>
    <row r="2308" spans="1:27">
      <c r="A2308" s="88" t="s">
        <v>720</v>
      </c>
      <c r="B2308" s="83" t="str">
        <f t="shared" si="579"/>
        <v>PRNT_UMU_DENSHI</v>
      </c>
      <c r="C2308" s="87" t="s">
        <v>180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718</v>
      </c>
      <c r="H2308" s="85" t="s">
        <v>341</v>
      </c>
      <c r="I2308" s="85" t="s">
        <v>179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182</v>
      </c>
      <c r="AA2308" s="79"/>
    </row>
    <row r="2309" spans="1:27">
      <c r="A2309" s="88" t="s">
        <v>719</v>
      </c>
      <c r="B2309" s="83" t="str">
        <f t="shared" si="579"/>
        <v>PRNT_UMU_AUTO</v>
      </c>
      <c r="C2309" s="87" t="s">
        <v>180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718</v>
      </c>
      <c r="H2309" s="85" t="s">
        <v>341</v>
      </c>
      <c r="I2309" s="85" t="s">
        <v>178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182</v>
      </c>
      <c r="AA2309" s="79"/>
    </row>
    <row r="2310" spans="1:27">
      <c r="A2310" s="88" t="s">
        <v>717</v>
      </c>
      <c r="B2310" s="83" t="str">
        <f t="shared" si="579"/>
        <v>TEISHUTSU_KB_DENSHI</v>
      </c>
      <c r="C2310" s="87" t="s">
        <v>180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716</v>
      </c>
      <c r="H2310" s="85" t="s">
        <v>177</v>
      </c>
      <c r="I2310" s="85" t="s">
        <v>179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182</v>
      </c>
      <c r="AA2310" s="79"/>
    </row>
    <row r="2311" spans="1:27">
      <c r="A2311" s="88" t="s">
        <v>715</v>
      </c>
      <c r="B2311" s="83" t="str">
        <f t="shared" si="579"/>
        <v>TEISHUTSU_KB_AUTO</v>
      </c>
      <c r="C2311" s="87" t="s">
        <v>180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714</v>
      </c>
      <c r="H2311" s="85" t="s">
        <v>177</v>
      </c>
      <c r="I2311" s="85" t="s">
        <v>178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137</v>
      </c>
      <c r="AA2311" s="79"/>
    </row>
    <row r="2312" spans="1:27">
      <c r="A2312" s="88" t="s">
        <v>713</v>
      </c>
      <c r="B2312" s="83" t="str">
        <f t="shared" si="579"/>
        <v>M_HITSUYO_DOC_ICHIRAN</v>
      </c>
      <c r="C2312" s="87" t="s">
        <v>158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158</v>
      </c>
      <c r="H2312" s="85" t="s">
        <v>712</v>
      </c>
      <c r="I2312" s="85" t="s">
        <v>166</v>
      </c>
      <c r="J2312" s="85" t="s">
        <v>711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137</v>
      </c>
      <c r="AA2312" s="79"/>
    </row>
    <row r="2313" spans="1:27">
      <c r="A2313" s="96" t="s">
        <v>710</v>
      </c>
      <c r="B2313" s="83" t="str">
        <f t="shared" si="579"/>
        <v>KEIJO_CHNL_KB_NAIKIN</v>
      </c>
      <c r="C2313" s="87" t="s">
        <v>191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703</v>
      </c>
      <c r="H2313" s="97" t="s">
        <v>702</v>
      </c>
      <c r="I2313" s="97" t="s">
        <v>288</v>
      </c>
      <c r="J2313" s="85" t="s">
        <v>709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137</v>
      </c>
      <c r="AA2313" s="79"/>
    </row>
    <row r="2314" spans="1:27">
      <c r="A2314" s="96" t="s">
        <v>708</v>
      </c>
      <c r="B2314" s="83" t="str">
        <f t="shared" si="579"/>
        <v>KEIJO_CHNL_KB_CCI_SALES</v>
      </c>
      <c r="C2314" s="87" t="s">
        <v>191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703</v>
      </c>
      <c r="H2314" s="97" t="s">
        <v>702</v>
      </c>
      <c r="I2314" s="97" t="s">
        <v>288</v>
      </c>
      <c r="J2314" s="85" t="s">
        <v>707</v>
      </c>
      <c r="K2314" s="85" t="s">
        <v>700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137</v>
      </c>
      <c r="AA2314" s="79"/>
    </row>
    <row r="2315" spans="1:27">
      <c r="A2315" s="96" t="s">
        <v>706</v>
      </c>
      <c r="B2315" s="83" t="str">
        <f t="shared" si="579"/>
        <v>KEIJO_CHNL_KB_FA_SALES</v>
      </c>
      <c r="C2315" s="87" t="s">
        <v>191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703</v>
      </c>
      <c r="H2315" s="97" t="s">
        <v>702</v>
      </c>
      <c r="I2315" s="97" t="s">
        <v>288</v>
      </c>
      <c r="J2315" s="85" t="s">
        <v>705</v>
      </c>
      <c r="K2315" s="85" t="s">
        <v>700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137</v>
      </c>
      <c r="AA2315" s="79"/>
    </row>
    <row r="2316" spans="1:27">
      <c r="A2316" s="96" t="s">
        <v>704</v>
      </c>
      <c r="B2316" s="83" t="str">
        <f t="shared" si="579"/>
        <v>KEIJO_CHNL_KB_AGENCY_SALES</v>
      </c>
      <c r="C2316" s="87" t="s">
        <v>191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703</v>
      </c>
      <c r="H2316" s="97" t="s">
        <v>702</v>
      </c>
      <c r="I2316" s="97" t="s">
        <v>288</v>
      </c>
      <c r="J2316" s="85" t="s">
        <v>701</v>
      </c>
      <c r="K2316" s="85" t="s">
        <v>700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137</v>
      </c>
      <c r="AA2316" s="79"/>
    </row>
    <row r="2317" spans="1:27">
      <c r="A2317" s="88" t="s">
        <v>699</v>
      </c>
      <c r="B2317" s="83" t="str">
        <f t="shared" si="579"/>
        <v>SHOHIN_TAISHO_FLG</v>
      </c>
      <c r="C2317" s="87" t="s">
        <v>528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157</v>
      </c>
      <c r="H2317" s="85" t="s">
        <v>696</v>
      </c>
      <c r="I2317" s="85" t="s">
        <v>528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137</v>
      </c>
      <c r="AA2317" s="79"/>
    </row>
    <row r="2318" spans="1:27">
      <c r="A2318" s="88" t="s">
        <v>698</v>
      </c>
      <c r="B2318" s="83" t="str">
        <f t="shared" si="579"/>
        <v>TAISHO_DOC_NAME</v>
      </c>
      <c r="C2318" s="87" t="s">
        <v>697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696</v>
      </c>
      <c r="H2318" s="85" t="s">
        <v>166</v>
      </c>
      <c r="I2318" s="85" t="s">
        <v>138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137</v>
      </c>
      <c r="AA2318" s="79"/>
    </row>
    <row r="2319" spans="1:27">
      <c r="A2319" s="88" t="s">
        <v>695</v>
      </c>
      <c r="B2319" s="83" t="str">
        <f t="shared" si="579"/>
        <v>GENDO_KETSUGO_CD</v>
      </c>
      <c r="C2319" s="87" t="s">
        <v>694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693</v>
      </c>
      <c r="H2319" s="85" t="s">
        <v>692</v>
      </c>
      <c r="I2319" s="85" t="s">
        <v>479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137</v>
      </c>
      <c r="AA2319" s="79"/>
    </row>
    <row r="2320" spans="1:27">
      <c r="A2320" s="88" t="s">
        <v>691</v>
      </c>
      <c r="B2320" s="83" t="str">
        <f t="shared" si="579"/>
        <v>FLEX_SHISAN_MOD_ITEM_S_ZOGAKU</v>
      </c>
      <c r="C2320" s="87" t="s">
        <v>191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657</v>
      </c>
      <c r="H2320" s="85" t="s">
        <v>659</v>
      </c>
      <c r="I2320" s="85" t="s">
        <v>655</v>
      </c>
      <c r="J2320" s="85" t="s">
        <v>190</v>
      </c>
      <c r="K2320" s="85" t="s">
        <v>678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137</v>
      </c>
      <c r="AA2320" s="79"/>
    </row>
    <row r="2321" spans="1:27">
      <c r="A2321" s="88" t="s">
        <v>690</v>
      </c>
      <c r="B2321" s="83" t="str">
        <f t="shared" si="579"/>
        <v>FLEX_SHISAN_MOD_ITEM_S_GENGAKU</v>
      </c>
      <c r="C2321" s="87" t="s">
        <v>191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657</v>
      </c>
      <c r="H2321" s="85" t="s">
        <v>659</v>
      </c>
      <c r="I2321" s="85" t="s">
        <v>655</v>
      </c>
      <c r="J2321" s="85" t="s">
        <v>190</v>
      </c>
      <c r="K2321" s="85" t="s">
        <v>687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137</v>
      </c>
      <c r="AA2321" s="79"/>
    </row>
    <row r="2322" spans="1:27">
      <c r="A2322" s="88" t="s">
        <v>689</v>
      </c>
      <c r="B2322" s="83" t="str">
        <f t="shared" si="579"/>
        <v>FLEX_SHISAN_MOD_ITEM_P_ZOGAKU</v>
      </c>
      <c r="C2322" s="87" t="s">
        <v>191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657</v>
      </c>
      <c r="H2322" s="85" t="s">
        <v>659</v>
      </c>
      <c r="I2322" s="85" t="s">
        <v>655</v>
      </c>
      <c r="J2322" s="85" t="s">
        <v>391</v>
      </c>
      <c r="K2322" s="85" t="s">
        <v>678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137</v>
      </c>
      <c r="AA2322" s="79"/>
    </row>
    <row r="2323" spans="1:27">
      <c r="A2323" s="88" t="s">
        <v>688</v>
      </c>
      <c r="B2323" s="83" t="str">
        <f t="shared" si="579"/>
        <v>FLEX_SHISAN_MOD_ITEM_P_GENGAKU</v>
      </c>
      <c r="C2323" s="87" t="s">
        <v>191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657</v>
      </c>
      <c r="H2323" s="85" t="s">
        <v>659</v>
      </c>
      <c r="I2323" s="85" t="s">
        <v>655</v>
      </c>
      <c r="J2323" s="85" t="s">
        <v>391</v>
      </c>
      <c r="K2323" s="85" t="s">
        <v>687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137</v>
      </c>
      <c r="AA2323" s="79"/>
    </row>
    <row r="2324" spans="1:27">
      <c r="A2324" s="88" t="s">
        <v>686</v>
      </c>
      <c r="B2324" s="83" t="str">
        <f t="shared" si="579"/>
        <v>FLEX_SHISAN_MOD_ITEM_P_STOP</v>
      </c>
      <c r="C2324" s="87" t="s">
        <v>191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657</v>
      </c>
      <c r="H2324" s="85" t="s">
        <v>659</v>
      </c>
      <c r="I2324" s="85" t="s">
        <v>655</v>
      </c>
      <c r="J2324" s="85" t="s">
        <v>391</v>
      </c>
      <c r="K2324" s="85" t="s">
        <v>685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137</v>
      </c>
      <c r="AA2324" s="79"/>
    </row>
    <row r="2325" spans="1:27">
      <c r="A2325" s="88" t="s">
        <v>684</v>
      </c>
      <c r="B2325" s="83" t="str">
        <f t="shared" si="579"/>
        <v>FLEX_SHISAN_MOD_ITEM_ICHIJIKIN_TONYU</v>
      </c>
      <c r="C2325" s="87" t="s">
        <v>191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657</v>
      </c>
      <c r="H2325" s="85" t="s">
        <v>659</v>
      </c>
      <c r="I2325" s="85" t="s">
        <v>655</v>
      </c>
      <c r="J2325" s="85" t="s">
        <v>683</v>
      </c>
      <c r="K2325" s="85" t="s">
        <v>682</v>
      </c>
      <c r="L2325" s="84" t="s">
        <v>681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137</v>
      </c>
      <c r="AA2325" s="79"/>
    </row>
    <row r="2326" spans="1:27">
      <c r="A2326" s="88" t="s">
        <v>680</v>
      </c>
      <c r="B2326" s="83" t="str">
        <f t="shared" si="579"/>
        <v>FLEX_SHISAN_MOD_ITEM_LIFE_EVENT_ZOGAKU</v>
      </c>
      <c r="C2326" s="87" t="s">
        <v>191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657</v>
      </c>
      <c r="H2326" s="85" t="s">
        <v>659</v>
      </c>
      <c r="I2326" s="85" t="s">
        <v>655</v>
      </c>
      <c r="J2326" s="85" t="s">
        <v>679</v>
      </c>
      <c r="K2326" s="85" t="s">
        <v>656</v>
      </c>
      <c r="L2326" s="84" t="s">
        <v>678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137</v>
      </c>
      <c r="AA2326" s="79"/>
    </row>
    <row r="2327" spans="1:27">
      <c r="A2327" s="88" t="s">
        <v>677</v>
      </c>
      <c r="B2327" s="83" t="str">
        <f t="shared" si="579"/>
        <v>FLEX_SHISAN_EVENT_ITEM_SHUGAKU</v>
      </c>
      <c r="C2327" s="87" t="s">
        <v>191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657</v>
      </c>
      <c r="H2327" s="85" t="s">
        <v>656</v>
      </c>
      <c r="I2327" s="85" t="s">
        <v>655</v>
      </c>
      <c r="J2327" s="85" t="s">
        <v>676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137</v>
      </c>
      <c r="AA2327" s="79"/>
    </row>
    <row r="2328" spans="1:27">
      <c r="A2328" s="88" t="s">
        <v>675</v>
      </c>
      <c r="B2328" s="83" t="str">
        <f t="shared" si="579"/>
        <v>FLEX_SHISAN_EVENT_ITEM_SHUSHOKU</v>
      </c>
      <c r="C2328" s="87" t="s">
        <v>191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657</v>
      </c>
      <c r="H2328" s="85" t="s">
        <v>656</v>
      </c>
      <c r="I2328" s="85" t="s">
        <v>655</v>
      </c>
      <c r="J2328" s="85" t="s">
        <v>674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137</v>
      </c>
      <c r="AA2328" s="79"/>
    </row>
    <row r="2329" spans="1:27">
      <c r="A2329" s="88" t="s">
        <v>673</v>
      </c>
      <c r="B2329" s="83" t="str">
        <f t="shared" si="579"/>
        <v>FLEX_SHISAN_EVENT_ITEM_KEKKON</v>
      </c>
      <c r="C2329" s="87" t="s">
        <v>191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657</v>
      </c>
      <c r="H2329" s="85" t="s">
        <v>656</v>
      </c>
      <c r="I2329" s="85" t="s">
        <v>655</v>
      </c>
      <c r="J2329" s="85" t="s">
        <v>672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137</v>
      </c>
      <c r="AA2329" s="79"/>
    </row>
    <row r="2330" spans="1:27">
      <c r="A2330" s="88" t="s">
        <v>671</v>
      </c>
      <c r="B2330" s="83" t="str">
        <f t="shared" si="579"/>
        <v>FLEX_SHISAN_EVENT_ITEM_CHILD_BIRTH</v>
      </c>
      <c r="C2330" s="87" t="s">
        <v>191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657</v>
      </c>
      <c r="H2330" s="85" t="s">
        <v>656</v>
      </c>
      <c r="I2330" s="85" t="s">
        <v>655</v>
      </c>
      <c r="J2330" s="85" t="s">
        <v>665</v>
      </c>
      <c r="K2330" s="85" t="s">
        <v>670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137</v>
      </c>
      <c r="AA2330" s="79"/>
    </row>
    <row r="2331" spans="1:27">
      <c r="A2331" s="88" t="s">
        <v>669</v>
      </c>
      <c r="B2331" s="83" t="str">
        <f t="shared" si="579"/>
        <v>FLEX_SHISAN_EVENT_ITEM_JUTAKU_KONYU</v>
      </c>
      <c r="C2331" s="87" t="s">
        <v>191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657</v>
      </c>
      <c r="H2331" s="85" t="s">
        <v>656</v>
      </c>
      <c r="I2331" s="85" t="s">
        <v>655</v>
      </c>
      <c r="J2331" s="85" t="s">
        <v>668</v>
      </c>
      <c r="K2331" s="85" t="s">
        <v>667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137</v>
      </c>
      <c r="AA2331" s="79"/>
    </row>
    <row r="2332" spans="1:27">
      <c r="A2332" s="88" t="s">
        <v>666</v>
      </c>
      <c r="B2332" s="83" t="str">
        <f t="shared" si="579"/>
        <v>FLEX_SHISAN_EVENT_ITEM_CHILD_DOKURITSU</v>
      </c>
      <c r="C2332" s="87" t="s">
        <v>191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657</v>
      </c>
      <c r="H2332" s="85" t="s">
        <v>656</v>
      </c>
      <c r="I2332" s="85" t="s">
        <v>655</v>
      </c>
      <c r="J2332" s="85" t="s">
        <v>665</v>
      </c>
      <c r="K2332" s="85" t="s">
        <v>664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137</v>
      </c>
      <c r="AA2332" s="79"/>
    </row>
    <row r="2333" spans="1:27">
      <c r="A2333" s="88" t="s">
        <v>663</v>
      </c>
      <c r="B2333" s="83" t="str">
        <f t="shared" si="579"/>
        <v>FLEX_SHISAN_EVENT_ITEM_TAISHOKU</v>
      </c>
      <c r="C2333" s="87" t="s">
        <v>191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657</v>
      </c>
      <c r="H2333" s="85" t="s">
        <v>656</v>
      </c>
      <c r="I2333" s="85" t="s">
        <v>655</v>
      </c>
      <c r="J2333" s="85" t="s">
        <v>431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137</v>
      </c>
      <c r="AA2333" s="79"/>
    </row>
    <row r="2334" spans="1:27">
      <c r="A2334" s="88" t="s">
        <v>662</v>
      </c>
      <c r="B2334" s="83" t="str">
        <f t="shared" si="579"/>
        <v>FLEX_SHISAN_EVENT_ITEM_OTHER</v>
      </c>
      <c r="C2334" s="87" t="s">
        <v>191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657</v>
      </c>
      <c r="H2334" s="85" t="s">
        <v>656</v>
      </c>
      <c r="I2334" s="85" t="s">
        <v>655</v>
      </c>
      <c r="J2334" s="85" t="s">
        <v>207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137</v>
      </c>
      <c r="AA2334" s="79"/>
    </row>
    <row r="2335" spans="1:27">
      <c r="A2335" s="88" t="s">
        <v>661</v>
      </c>
      <c r="B2335" s="83" t="str">
        <f t="shared" si="579"/>
        <v>FLEX_SHISAN_EVENT_ITEM_NASHI</v>
      </c>
      <c r="C2335" s="87" t="s">
        <v>191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657</v>
      </c>
      <c r="H2335" s="85" t="s">
        <v>656</v>
      </c>
      <c r="I2335" s="85" t="s">
        <v>655</v>
      </c>
      <c r="J2335" s="85" t="s">
        <v>340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137</v>
      </c>
      <c r="AA2335" s="79"/>
    </row>
    <row r="2336" spans="1:27">
      <c r="A2336" s="88" t="s">
        <v>660</v>
      </c>
      <c r="B2336" s="83" t="str">
        <f t="shared" si="579"/>
        <v>FLEX_SHISAN_MOD_ITEM</v>
      </c>
      <c r="C2336" s="87" t="s">
        <v>191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657</v>
      </c>
      <c r="H2336" s="85" t="s">
        <v>659</v>
      </c>
      <c r="I2336" s="85" t="s">
        <v>655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137</v>
      </c>
      <c r="AA2336" s="79"/>
    </row>
    <row r="2337" spans="1:27">
      <c r="A2337" s="88" t="s">
        <v>658</v>
      </c>
      <c r="B2337" s="83" t="str">
        <f t="shared" si="579"/>
        <v>FLEX_SHISAN_EVENT_ITEM</v>
      </c>
      <c r="C2337" s="87" t="s">
        <v>191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657</v>
      </c>
      <c r="H2337" s="85" t="s">
        <v>656</v>
      </c>
      <c r="I2337" s="85" t="s">
        <v>655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137</v>
      </c>
      <c r="AA2337" s="79"/>
    </row>
    <row r="2338" spans="1:27">
      <c r="A2338" s="88" t="s">
        <v>654</v>
      </c>
      <c r="B2338" s="83" t="str">
        <f t="shared" si="579"/>
        <v>HOKEN_KIKAN_SUB_STR</v>
      </c>
      <c r="C2338" s="87" t="s">
        <v>653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652</v>
      </c>
      <c r="H2338" s="85" t="s">
        <v>651</v>
      </c>
      <c r="I2338" s="85" t="s">
        <v>650</v>
      </c>
      <c r="J2338" s="85" t="s">
        <v>649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137</v>
      </c>
      <c r="AA2338" s="79"/>
    </row>
    <row r="2339" spans="1:27">
      <c r="A2339" s="88" t="s">
        <v>648</v>
      </c>
      <c r="B2339" s="83" t="str">
        <f t="shared" si="579"/>
        <v>TOKU_P_CLASS_LIST_CLASS_1</v>
      </c>
      <c r="C2339" s="87" t="s">
        <v>191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638</v>
      </c>
      <c r="H2339" s="85" t="s">
        <v>637</v>
      </c>
      <c r="I2339" s="85" t="s">
        <v>295</v>
      </c>
      <c r="J2339" s="85" t="s">
        <v>637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137</v>
      </c>
      <c r="AA2339" s="79"/>
    </row>
    <row r="2340" spans="1:27">
      <c r="A2340" s="88" t="s">
        <v>647</v>
      </c>
      <c r="B2340" s="83" t="str">
        <f t="shared" si="579"/>
        <v>TOKU_P_CLASS_LIST_CLASS_2</v>
      </c>
      <c r="C2340" s="87" t="s">
        <v>191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638</v>
      </c>
      <c r="H2340" s="85" t="s">
        <v>637</v>
      </c>
      <c r="I2340" s="85" t="s">
        <v>646</v>
      </c>
      <c r="J2340" s="85" t="s">
        <v>637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137</v>
      </c>
      <c r="AA2340" s="79"/>
    </row>
    <row r="2341" spans="1:27">
      <c r="A2341" s="88" t="s">
        <v>645</v>
      </c>
      <c r="B2341" s="83" t="str">
        <f t="shared" si="579"/>
        <v>TOKU_P_CLASS_LIST_CLASS_3</v>
      </c>
      <c r="C2341" s="87" t="s">
        <v>191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638</v>
      </c>
      <c r="H2341" s="85" t="s">
        <v>637</v>
      </c>
      <c r="I2341" s="85" t="s">
        <v>295</v>
      </c>
      <c r="J2341" s="85" t="s">
        <v>637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137</v>
      </c>
      <c r="AA2341" s="79"/>
    </row>
    <row r="2342" spans="1:27">
      <c r="A2342" s="88" t="s">
        <v>644</v>
      </c>
      <c r="B2342" s="83" t="str">
        <f t="shared" si="579"/>
        <v>TOKU_P_CLASS_LIST_CLASS_4</v>
      </c>
      <c r="C2342" s="87" t="s">
        <v>191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638</v>
      </c>
      <c r="H2342" s="85" t="s">
        <v>637</v>
      </c>
      <c r="I2342" s="85" t="s">
        <v>295</v>
      </c>
      <c r="J2342" s="85" t="s">
        <v>637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137</v>
      </c>
      <c r="AA2342" s="79"/>
    </row>
    <row r="2343" spans="1:27">
      <c r="A2343" s="88" t="s">
        <v>643</v>
      </c>
      <c r="B2343" s="83" t="str">
        <f t="shared" si="579"/>
        <v>TOKU_P_CLASS_LIST_CLASS_5</v>
      </c>
      <c r="C2343" s="87" t="s">
        <v>191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638</v>
      </c>
      <c r="H2343" s="85" t="s">
        <v>637</v>
      </c>
      <c r="I2343" s="85" t="s">
        <v>295</v>
      </c>
      <c r="J2343" s="85" t="s">
        <v>637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137</v>
      </c>
      <c r="AA2343" s="79"/>
    </row>
    <row r="2344" spans="1:27">
      <c r="A2344" s="88" t="s">
        <v>642</v>
      </c>
      <c r="B2344" s="83" t="str">
        <f t="shared" si="579"/>
        <v>TOKU_P_CLASS_LIST_CLASS_6</v>
      </c>
      <c r="C2344" s="87" t="s">
        <v>191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638</v>
      </c>
      <c r="H2344" s="85" t="s">
        <v>637</v>
      </c>
      <c r="I2344" s="85" t="s">
        <v>295</v>
      </c>
      <c r="J2344" s="85" t="s">
        <v>637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137</v>
      </c>
      <c r="AA2344" s="79"/>
    </row>
    <row r="2345" spans="1:27">
      <c r="A2345" s="88" t="s">
        <v>641</v>
      </c>
      <c r="B2345" s="83" t="str">
        <f t="shared" si="579"/>
        <v>TOKU_P_CLASS_LIST_CLASS_7</v>
      </c>
      <c r="C2345" s="87" t="s">
        <v>191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638</v>
      </c>
      <c r="H2345" s="85" t="s">
        <v>637</v>
      </c>
      <c r="I2345" s="85" t="s">
        <v>295</v>
      </c>
      <c r="J2345" s="85" t="s">
        <v>637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137</v>
      </c>
      <c r="AA2345" s="79"/>
    </row>
    <row r="2346" spans="1:27">
      <c r="A2346" s="88" t="s">
        <v>640</v>
      </c>
      <c r="B2346" s="83" t="str">
        <f t="shared" si="579"/>
        <v>TOKU_P_CLASS_LIST_CLASS_8</v>
      </c>
      <c r="C2346" s="87" t="s">
        <v>191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638</v>
      </c>
      <c r="H2346" s="85" t="s">
        <v>637</v>
      </c>
      <c r="I2346" s="85" t="s">
        <v>295</v>
      </c>
      <c r="J2346" s="85" t="s">
        <v>637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137</v>
      </c>
      <c r="AA2346" s="79"/>
    </row>
    <row r="2347" spans="1:27">
      <c r="A2347" s="88" t="s">
        <v>639</v>
      </c>
      <c r="B2347" s="83" t="str">
        <f t="shared" si="579"/>
        <v>TOKU_P_CLASS_LIST</v>
      </c>
      <c r="C2347" s="87" t="s">
        <v>191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638</v>
      </c>
      <c r="H2347" s="85" t="s">
        <v>637</v>
      </c>
      <c r="I2347" s="85" t="s">
        <v>295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137</v>
      </c>
      <c r="AA2347" s="79"/>
    </row>
    <row r="2348" spans="1:27">
      <c r="A2348" s="96" t="s">
        <v>6482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630</v>
      </c>
      <c r="H2348" s="85" t="s">
        <v>746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365</v>
      </c>
      <c r="AA2348" s="79"/>
    </row>
    <row r="2349" spans="1:27">
      <c r="A2349" s="88" t="s">
        <v>636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635</v>
      </c>
      <c r="H2349" s="85" t="s">
        <v>559</v>
      </c>
      <c r="I2349" s="85" t="s">
        <v>595</v>
      </c>
      <c r="J2349" s="85" t="s">
        <v>529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137</v>
      </c>
      <c r="AA2349" s="79"/>
    </row>
    <row r="2350" spans="1:27">
      <c r="A2350" s="88" t="s">
        <v>634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630</v>
      </c>
      <c r="H2350" s="85" t="s">
        <v>624</v>
      </c>
      <c r="I2350" s="85" t="s">
        <v>529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137</v>
      </c>
      <c r="AA2350" s="79"/>
    </row>
    <row r="2351" spans="1:27">
      <c r="A2351" s="88" t="s">
        <v>633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630</v>
      </c>
      <c r="H2351" s="85" t="s">
        <v>529</v>
      </c>
      <c r="I2351" s="85" t="s">
        <v>166</v>
      </c>
      <c r="J2351" s="85" t="s">
        <v>545</v>
      </c>
      <c r="K2351" s="85" t="s">
        <v>164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137</v>
      </c>
      <c r="AA2351" s="79"/>
    </row>
    <row r="2352" spans="1:27">
      <c r="A2352" s="88" t="s">
        <v>632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630</v>
      </c>
      <c r="H2352" s="85" t="s">
        <v>622</v>
      </c>
      <c r="I2352" s="85" t="s">
        <v>529</v>
      </c>
      <c r="J2352" s="85" t="s">
        <v>562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137</v>
      </c>
      <c r="AA2352" s="79"/>
    </row>
    <row r="2353" spans="1:27">
      <c r="A2353" s="88" t="s">
        <v>631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630</v>
      </c>
      <c r="H2353" s="85" t="s">
        <v>624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365</v>
      </c>
      <c r="AA2353" s="79"/>
    </row>
    <row r="2354" spans="1:27">
      <c r="A2354" s="88" t="s">
        <v>629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620</v>
      </c>
      <c r="H2354" s="85" t="s">
        <v>559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137</v>
      </c>
      <c r="AA2354" s="79"/>
    </row>
    <row r="2355" spans="1:27">
      <c r="A2355" s="88" t="s">
        <v>628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620</v>
      </c>
      <c r="H2355" s="85" t="s">
        <v>595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137</v>
      </c>
      <c r="AA2355" s="79"/>
    </row>
    <row r="2356" spans="1:27">
      <c r="A2356" s="88" t="s">
        <v>627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620</v>
      </c>
      <c r="H2356" s="85" t="s">
        <v>581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137</v>
      </c>
      <c r="AA2356" s="79"/>
    </row>
    <row r="2357" spans="1:27">
      <c r="A2357" s="88" t="s">
        <v>626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620</v>
      </c>
      <c r="H2357" s="85" t="s">
        <v>581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137</v>
      </c>
      <c r="AA2357" s="79"/>
    </row>
    <row r="2358" spans="1:27">
      <c r="A2358" s="88" t="s">
        <v>625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620</v>
      </c>
      <c r="H2358" s="85" t="s">
        <v>624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137</v>
      </c>
      <c r="AA2358" s="79"/>
    </row>
    <row r="2359" spans="1:27">
      <c r="A2359" s="88" t="s">
        <v>623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620</v>
      </c>
      <c r="H2359" s="85" t="s">
        <v>622</v>
      </c>
      <c r="I2359" s="85" t="s">
        <v>529</v>
      </c>
      <c r="J2359" s="85" t="s">
        <v>562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137</v>
      </c>
      <c r="AA2359" s="79"/>
    </row>
    <row r="2360" spans="1:27">
      <c r="A2360" s="88" t="s">
        <v>621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620</v>
      </c>
      <c r="H2360" s="85" t="s">
        <v>554</v>
      </c>
      <c r="I2360" s="85" t="s">
        <v>166</v>
      </c>
      <c r="J2360" s="85" t="s">
        <v>545</v>
      </c>
      <c r="K2360" s="85" t="s">
        <v>164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137</v>
      </c>
      <c r="AA2360" s="79"/>
    </row>
    <row r="2361" spans="1:27">
      <c r="A2361" s="88" t="s">
        <v>619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601</v>
      </c>
      <c r="H2361" s="85" t="s">
        <v>195</v>
      </c>
      <c r="I2361" s="85" t="s">
        <v>618</v>
      </c>
      <c r="J2361" s="85" t="s">
        <v>529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137</v>
      </c>
      <c r="AA2361" s="79"/>
    </row>
    <row r="2362" spans="1:27">
      <c r="A2362" s="88" t="s">
        <v>617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601</v>
      </c>
      <c r="H2362" s="85" t="s">
        <v>195</v>
      </c>
      <c r="I2362" s="85" t="s">
        <v>606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137</v>
      </c>
      <c r="AA2362" s="79"/>
    </row>
    <row r="2363" spans="1:27">
      <c r="A2363" s="88" t="s">
        <v>616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601</v>
      </c>
      <c r="H2363" s="85" t="s">
        <v>195</v>
      </c>
      <c r="I2363" s="85" t="s">
        <v>609</v>
      </c>
      <c r="J2363" s="85" t="s">
        <v>288</v>
      </c>
      <c r="K2363" s="85" t="s">
        <v>554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137</v>
      </c>
      <c r="AA2363" s="79"/>
    </row>
    <row r="2364" spans="1:27">
      <c r="A2364" s="96" t="s">
        <v>615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601</v>
      </c>
      <c r="H2364" s="85" t="s">
        <v>195</v>
      </c>
      <c r="I2364" s="85" t="s">
        <v>614</v>
      </c>
      <c r="J2364" s="85" t="s">
        <v>613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137</v>
      </c>
      <c r="AA2364" s="79"/>
    </row>
    <row r="2365" spans="1:27">
      <c r="A2365" s="88" t="s">
        <v>612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601</v>
      </c>
      <c r="H2365" s="85" t="s">
        <v>195</v>
      </c>
      <c r="I2365" s="85" t="s">
        <v>599</v>
      </c>
      <c r="J2365" s="85" t="s">
        <v>598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137</v>
      </c>
      <c r="AA2365" s="79"/>
    </row>
    <row r="2366" spans="1:27">
      <c r="A2366" s="88" t="s">
        <v>611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601</v>
      </c>
      <c r="H2366" s="85" t="s">
        <v>195</v>
      </c>
      <c r="I2366" s="85" t="s">
        <v>599</v>
      </c>
      <c r="J2366" s="85" t="s">
        <v>598</v>
      </c>
      <c r="K2366" s="85" t="s">
        <v>166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137</v>
      </c>
      <c r="AA2366" s="79"/>
    </row>
    <row r="2367" spans="1:27">
      <c r="A2367" s="88" t="s">
        <v>610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601</v>
      </c>
      <c r="H2367" s="85" t="s">
        <v>195</v>
      </c>
      <c r="I2367" s="85" t="s">
        <v>609</v>
      </c>
      <c r="J2367" s="85" t="s">
        <v>608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137</v>
      </c>
      <c r="AA2367" s="79"/>
    </row>
    <row r="2368" spans="1:27">
      <c r="A2368" s="88" t="s">
        <v>607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601</v>
      </c>
      <c r="H2368" s="85" t="s">
        <v>195</v>
      </c>
      <c r="I2368" s="85" t="s">
        <v>606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137</v>
      </c>
      <c r="AA2368" s="79"/>
    </row>
    <row r="2369" spans="1:27">
      <c r="A2369" s="88" t="s">
        <v>605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601</v>
      </c>
      <c r="H2369" s="85" t="s">
        <v>195</v>
      </c>
      <c r="I2369" s="85" t="s">
        <v>166</v>
      </c>
      <c r="J2369" s="85" t="s">
        <v>470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137</v>
      </c>
      <c r="AA2369" s="79"/>
    </row>
    <row r="2370" spans="1:27">
      <c r="A2370" s="88" t="s">
        <v>604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601</v>
      </c>
      <c r="H2370" s="85" t="s">
        <v>195</v>
      </c>
      <c r="I2370" s="85" t="s">
        <v>529</v>
      </c>
      <c r="J2370" s="85" t="s">
        <v>562</v>
      </c>
      <c r="K2370" s="85" t="s">
        <v>545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137</v>
      </c>
      <c r="AA2370" s="79"/>
    </row>
    <row r="2371" spans="1:27">
      <c r="A2371" s="88" t="s">
        <v>603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601</v>
      </c>
      <c r="H2371" s="85" t="s">
        <v>291</v>
      </c>
      <c r="I2371" s="85" t="s">
        <v>599</v>
      </c>
      <c r="J2371" s="85" t="s">
        <v>598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365</v>
      </c>
      <c r="AA2371" s="79"/>
    </row>
    <row r="2372" spans="1:27">
      <c r="A2372" s="88" t="s">
        <v>602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601</v>
      </c>
      <c r="H2372" s="85" t="s">
        <v>600</v>
      </c>
      <c r="I2372" s="85" t="s">
        <v>599</v>
      </c>
      <c r="J2372" s="85" t="s">
        <v>598</v>
      </c>
      <c r="K2372" s="85" t="s">
        <v>562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365</v>
      </c>
      <c r="AA2372" s="79"/>
    </row>
    <row r="2373" spans="1:27">
      <c r="A2373" s="95" t="s">
        <v>597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579</v>
      </c>
      <c r="H2373" s="85" t="s">
        <v>559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137</v>
      </c>
      <c r="AA2373" s="79"/>
    </row>
    <row r="2374" spans="1:27">
      <c r="A2374" s="88" t="s">
        <v>596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579</v>
      </c>
      <c r="H2374" s="85" t="s">
        <v>595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137</v>
      </c>
      <c r="AA2374" s="79"/>
    </row>
    <row r="2375" spans="1:27">
      <c r="A2375" s="88" t="s">
        <v>594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579</v>
      </c>
      <c r="H2375" s="85" t="s">
        <v>581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137</v>
      </c>
      <c r="AA2375" s="79"/>
    </row>
    <row r="2376" spans="1:27">
      <c r="A2376" s="88" t="s">
        <v>593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579</v>
      </c>
      <c r="H2376" s="85" t="s">
        <v>581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137</v>
      </c>
      <c r="AA2376" s="79"/>
    </row>
    <row r="2377" spans="1:27">
      <c r="A2377" s="88" t="s">
        <v>592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579</v>
      </c>
      <c r="H2377" s="85" t="s">
        <v>578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365</v>
      </c>
      <c r="AA2377" s="79"/>
    </row>
    <row r="2378" spans="1:27">
      <c r="A2378" s="88" t="s">
        <v>591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579</v>
      </c>
      <c r="H2378" s="85" t="s">
        <v>559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137</v>
      </c>
      <c r="AA2378" s="79"/>
    </row>
    <row r="2379" spans="1:27">
      <c r="A2379" s="88" t="s">
        <v>590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579</v>
      </c>
      <c r="H2379" s="85" t="s">
        <v>584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137</v>
      </c>
      <c r="AA2379" s="79"/>
    </row>
    <row r="2380" spans="1:27">
      <c r="A2380" s="88" t="s">
        <v>589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579</v>
      </c>
      <c r="H2380" s="85" t="s">
        <v>581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137</v>
      </c>
      <c r="AA2380" s="79"/>
    </row>
    <row r="2381" spans="1:27">
      <c r="A2381" s="88" t="s">
        <v>588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579</v>
      </c>
      <c r="H2381" s="85" t="s">
        <v>581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137</v>
      </c>
      <c r="AA2381" s="79"/>
    </row>
    <row r="2382" spans="1:27">
      <c r="A2382" s="88" t="s">
        <v>587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579</v>
      </c>
      <c r="H2382" s="85" t="s">
        <v>578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365</v>
      </c>
      <c r="AA2382" s="79"/>
    </row>
    <row r="2383" spans="1:27">
      <c r="A2383" s="88" t="s">
        <v>586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579</v>
      </c>
      <c r="H2383" s="85" t="s">
        <v>559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137</v>
      </c>
      <c r="AA2383" s="79"/>
    </row>
    <row r="2384" spans="1:27">
      <c r="A2384" s="88" t="s">
        <v>585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579</v>
      </c>
      <c r="H2384" s="85" t="s">
        <v>584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137</v>
      </c>
      <c r="AA2384" s="79"/>
    </row>
    <row r="2385" spans="1:27">
      <c r="A2385" s="88" t="s">
        <v>583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579</v>
      </c>
      <c r="H2385" s="85" t="s">
        <v>581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137</v>
      </c>
      <c r="AA2385" s="79"/>
    </row>
    <row r="2386" spans="1:27">
      <c r="A2386" s="88" t="s">
        <v>582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579</v>
      </c>
      <c r="H2386" s="85" t="s">
        <v>581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137</v>
      </c>
      <c r="AA2386" s="79"/>
    </row>
    <row r="2387" spans="1:27">
      <c r="A2387" s="88" t="s">
        <v>580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579</v>
      </c>
      <c r="H2387" s="85" t="s">
        <v>578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574</v>
      </c>
      <c r="AA2387" s="79"/>
    </row>
    <row r="2388" spans="1:27">
      <c r="A2388" s="88" t="s">
        <v>577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558</v>
      </c>
      <c r="H2388" s="85" t="s">
        <v>554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137</v>
      </c>
      <c r="AA2388" s="79"/>
    </row>
    <row r="2389" spans="1:27">
      <c r="A2389" s="88" t="s">
        <v>576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575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574</v>
      </c>
      <c r="AA2389" s="79"/>
    </row>
    <row r="2390" spans="1:27">
      <c r="A2390" s="88" t="s">
        <v>573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558</v>
      </c>
      <c r="H2390" s="85" t="s">
        <v>557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565</v>
      </c>
      <c r="AA2390" s="79"/>
    </row>
    <row r="2391" spans="1:27">
      <c r="A2391" s="88" t="s">
        <v>572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563</v>
      </c>
      <c r="H2391" s="85" t="s">
        <v>166</v>
      </c>
      <c r="I2391" s="85" t="s">
        <v>164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365</v>
      </c>
      <c r="AA2391" s="79"/>
    </row>
    <row r="2392" spans="1:27">
      <c r="A2392" s="88" t="s">
        <v>571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570</v>
      </c>
      <c r="H2392" s="85" t="s">
        <v>559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556</v>
      </c>
      <c r="AA2392" s="79"/>
    </row>
    <row r="2393" spans="1:27">
      <c r="A2393" s="88" t="s">
        <v>6483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567</v>
      </c>
      <c r="H2393" s="85" t="s">
        <v>569</v>
      </c>
      <c r="I2393" s="85" t="s">
        <v>746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556</v>
      </c>
      <c r="AA2393" s="79"/>
    </row>
    <row r="2394" spans="1:27">
      <c r="A2394" s="88" t="s">
        <v>568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567</v>
      </c>
      <c r="H2394" s="85" t="s">
        <v>554</v>
      </c>
      <c r="I2394" s="85" t="s">
        <v>566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565</v>
      </c>
      <c r="AA2394" s="79"/>
    </row>
    <row r="2395" spans="1:27">
      <c r="A2395" s="95" t="s">
        <v>564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563</v>
      </c>
      <c r="H2395" s="85" t="s">
        <v>562</v>
      </c>
      <c r="I2395" s="85" t="s">
        <v>561</v>
      </c>
      <c r="J2395" s="85" t="s">
        <v>545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365</v>
      </c>
      <c r="AA2395" s="79"/>
    </row>
    <row r="2396" spans="1:27">
      <c r="A2396" s="95" t="s">
        <v>560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559</v>
      </c>
      <c r="H2396" s="85" t="s">
        <v>558</v>
      </c>
      <c r="I2396" s="85" t="s">
        <v>557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556</v>
      </c>
      <c r="AA2396" s="79"/>
    </row>
    <row r="2397" spans="1:27">
      <c r="A2397" s="88" t="s">
        <v>555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554</v>
      </c>
      <c r="H2397" s="85" t="s">
        <v>553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550</v>
      </c>
      <c r="AA2397" s="79"/>
    </row>
    <row r="2398" spans="1:27">
      <c r="A2398" s="88" t="s">
        <v>552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548</v>
      </c>
      <c r="H2398" s="85" t="s">
        <v>547</v>
      </c>
      <c r="I2398" s="85" t="s">
        <v>546</v>
      </c>
      <c r="J2398" s="85" t="s">
        <v>545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550</v>
      </c>
      <c r="AA2398" s="79"/>
    </row>
    <row r="2399" spans="1:27">
      <c r="A2399" s="88" t="s">
        <v>551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548</v>
      </c>
      <c r="H2399" s="85" t="s">
        <v>547</v>
      </c>
      <c r="I2399" s="85" t="s">
        <v>546</v>
      </c>
      <c r="J2399" s="85" t="s">
        <v>545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550</v>
      </c>
      <c r="AA2399" s="79"/>
    </row>
    <row r="2400" spans="1:27">
      <c r="A2400" s="88" t="s">
        <v>549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548</v>
      </c>
      <c r="H2400" s="85" t="s">
        <v>547</v>
      </c>
      <c r="I2400" s="85" t="s">
        <v>546</v>
      </c>
      <c r="J2400" s="85" t="s">
        <v>545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541</v>
      </c>
      <c r="AA2400" s="79"/>
    </row>
    <row r="2401" spans="1:27">
      <c r="A2401" s="88" t="s">
        <v>544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539</v>
      </c>
      <c r="H2401" s="85" t="s">
        <v>538</v>
      </c>
      <c r="I2401" s="85" t="s">
        <v>537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541</v>
      </c>
      <c r="AA2401" s="79"/>
    </row>
    <row r="2402" spans="1:27">
      <c r="A2402" s="88" t="s">
        <v>543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539</v>
      </c>
      <c r="H2402" s="85" t="s">
        <v>538</v>
      </c>
      <c r="I2402" s="85" t="s">
        <v>537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541</v>
      </c>
      <c r="AA2402" s="79"/>
    </row>
    <row r="2403" spans="1:27">
      <c r="A2403" s="88" t="s">
        <v>542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539</v>
      </c>
      <c r="H2403" s="85" t="s">
        <v>538</v>
      </c>
      <c r="I2403" s="85" t="s">
        <v>537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541</v>
      </c>
      <c r="AA2403" s="79"/>
    </row>
    <row r="2404" spans="1:27">
      <c r="A2404" s="88" t="s">
        <v>540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539</v>
      </c>
      <c r="H2404" s="85" t="s">
        <v>538</v>
      </c>
      <c r="I2404" s="85" t="s">
        <v>537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536</v>
      </c>
      <c r="AA2404" s="79"/>
    </row>
    <row r="2405" spans="1:27">
      <c r="A2405" s="88" t="s">
        <v>535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534</v>
      </c>
      <c r="H2405" s="85" t="s">
        <v>533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137</v>
      </c>
      <c r="AA2405" s="79"/>
    </row>
    <row r="2406" spans="1:27">
      <c r="A2406" s="88" t="s">
        <v>532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531</v>
      </c>
      <c r="H2406" s="85" t="s">
        <v>530</v>
      </c>
      <c r="I2406" s="85" t="s">
        <v>529</v>
      </c>
      <c r="J2406" s="85" t="s">
        <v>528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137</v>
      </c>
      <c r="AA2406" s="79"/>
    </row>
    <row r="2407" spans="1:27">
      <c r="A2407" s="88" t="s">
        <v>527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516</v>
      </c>
      <c r="H2407" s="85" t="s">
        <v>511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137</v>
      </c>
      <c r="AA2407" s="79"/>
    </row>
    <row r="2408" spans="1:27">
      <c r="A2408" s="88" t="s">
        <v>526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516</v>
      </c>
      <c r="H2408" s="85" t="s">
        <v>509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137</v>
      </c>
      <c r="AA2408" s="79"/>
    </row>
    <row r="2409" spans="1:27">
      <c r="A2409" s="88" t="s">
        <v>525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516</v>
      </c>
      <c r="H2409" s="85" t="s">
        <v>507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137</v>
      </c>
      <c r="AA2409" s="79"/>
    </row>
    <row r="2410" spans="1:27">
      <c r="A2410" s="88" t="s">
        <v>524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516</v>
      </c>
      <c r="H2410" s="85" t="s">
        <v>505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137</v>
      </c>
      <c r="AA2410" s="79"/>
    </row>
    <row r="2411" spans="1:27">
      <c r="A2411" s="88" t="s">
        <v>523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516</v>
      </c>
      <c r="H2411" s="85" t="s">
        <v>522</v>
      </c>
      <c r="I2411" s="85" t="s">
        <v>500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137</v>
      </c>
      <c r="AA2411" s="79"/>
    </row>
    <row r="2412" spans="1:27">
      <c r="A2412" s="88" t="s">
        <v>521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516</v>
      </c>
      <c r="H2412" s="85" t="s">
        <v>501</v>
      </c>
      <c r="I2412" s="85" t="s">
        <v>500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137</v>
      </c>
      <c r="AA2412" s="79"/>
    </row>
    <row r="2413" spans="1:27">
      <c r="A2413" s="88" t="s">
        <v>520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516</v>
      </c>
      <c r="H2413" s="85" t="s">
        <v>496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137</v>
      </c>
      <c r="AA2413" s="79"/>
    </row>
    <row r="2414" spans="1:27">
      <c r="A2414" s="88" t="s">
        <v>519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516</v>
      </c>
      <c r="H2414" s="85" t="s">
        <v>518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137</v>
      </c>
      <c r="AA2414" s="79"/>
    </row>
    <row r="2415" spans="1:27">
      <c r="A2415" s="88" t="s">
        <v>517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516</v>
      </c>
      <c r="H2415" s="85" t="s">
        <v>492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495</v>
      </c>
      <c r="AA2415" s="79"/>
    </row>
    <row r="2416" spans="1:27">
      <c r="A2416" s="88" t="s">
        <v>515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493</v>
      </c>
      <c r="H2416" s="85" t="s">
        <v>514</v>
      </c>
      <c r="I2416" s="85" t="s">
        <v>513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495</v>
      </c>
      <c r="AA2416" s="79"/>
    </row>
    <row r="2417" spans="1:27">
      <c r="A2417" s="88" t="s">
        <v>512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493</v>
      </c>
      <c r="H2417" s="85" t="s">
        <v>511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495</v>
      </c>
      <c r="AA2417" s="79"/>
    </row>
    <row r="2418" spans="1:27">
      <c r="A2418" s="88" t="s">
        <v>510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493</v>
      </c>
      <c r="H2418" s="85" t="s">
        <v>509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495</v>
      </c>
      <c r="AA2418" s="79"/>
    </row>
    <row r="2419" spans="1:27">
      <c r="A2419" s="88" t="s">
        <v>508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493</v>
      </c>
      <c r="H2419" s="85" t="s">
        <v>507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495</v>
      </c>
      <c r="AA2419" s="79"/>
    </row>
    <row r="2420" spans="1:27">
      <c r="A2420" s="88" t="s">
        <v>506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493</v>
      </c>
      <c r="H2420" s="85" t="s">
        <v>505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495</v>
      </c>
      <c r="AA2420" s="79"/>
    </row>
    <row r="2421" spans="1:27">
      <c r="A2421" s="88" t="s">
        <v>504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493</v>
      </c>
      <c r="H2421" s="85" t="s">
        <v>503</v>
      </c>
      <c r="I2421" s="85" t="s">
        <v>500</v>
      </c>
      <c r="J2421" s="85" t="s">
        <v>499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495</v>
      </c>
      <c r="AA2421" s="79"/>
    </row>
    <row r="2422" spans="1:27">
      <c r="A2422" s="88" t="s">
        <v>502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493</v>
      </c>
      <c r="H2422" s="85" t="s">
        <v>501</v>
      </c>
      <c r="I2422" s="85" t="s">
        <v>500</v>
      </c>
      <c r="J2422" s="85" t="s">
        <v>499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137</v>
      </c>
      <c r="AA2422" s="79"/>
    </row>
    <row r="2423" spans="1:27">
      <c r="A2423" s="88" t="s">
        <v>498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497</v>
      </c>
      <c r="H2423" s="85" t="s">
        <v>496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495</v>
      </c>
      <c r="AA2423" s="79"/>
    </row>
    <row r="2424" spans="1:27">
      <c r="A2424" s="88" t="s">
        <v>494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493</v>
      </c>
      <c r="H2424" s="85" t="s">
        <v>492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365</v>
      </c>
      <c r="AA2424" s="79"/>
    </row>
    <row r="2425" spans="1:27">
      <c r="A2425" s="88" t="s">
        <v>491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491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137</v>
      </c>
      <c r="AA2425" s="79"/>
    </row>
    <row r="2426" spans="1:27">
      <c r="A2426" s="88" t="s">
        <v>490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480</v>
      </c>
      <c r="H2426" s="85" t="s">
        <v>479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137</v>
      </c>
      <c r="AA2426" s="79"/>
    </row>
    <row r="2427" spans="1:27">
      <c r="A2427" s="88" t="s">
        <v>489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480</v>
      </c>
      <c r="H2427" s="85" t="s">
        <v>479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137</v>
      </c>
      <c r="AA2427" s="79"/>
    </row>
    <row r="2428" spans="1:27">
      <c r="A2428" s="88" t="s">
        <v>488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480</v>
      </c>
      <c r="H2428" s="85" t="s">
        <v>479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137</v>
      </c>
      <c r="AA2428" s="79"/>
    </row>
    <row r="2429" spans="1:27">
      <c r="A2429" s="88" t="s">
        <v>487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480</v>
      </c>
      <c r="H2429" s="85" t="s">
        <v>479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137</v>
      </c>
      <c r="AA2429" s="79"/>
    </row>
    <row r="2430" spans="1:27">
      <c r="A2430" s="88" t="s">
        <v>486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480</v>
      </c>
      <c r="H2430" s="85" t="s">
        <v>479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137</v>
      </c>
      <c r="AA2430" s="79"/>
    </row>
    <row r="2431" spans="1:27">
      <c r="A2431" s="88" t="s">
        <v>485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480</v>
      </c>
      <c r="H2431" s="85" t="s">
        <v>479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137</v>
      </c>
      <c r="AA2431" s="79"/>
    </row>
    <row r="2432" spans="1:27">
      <c r="A2432" s="88" t="s">
        <v>484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480</v>
      </c>
      <c r="H2432" s="85" t="s">
        <v>479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137</v>
      </c>
      <c r="AA2432" s="79"/>
    </row>
    <row r="2433" spans="1:27">
      <c r="A2433" s="88" t="s">
        <v>483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480</v>
      </c>
      <c r="H2433" s="85" t="s">
        <v>479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137</v>
      </c>
      <c r="AA2433" s="79"/>
    </row>
    <row r="2434" spans="1:27">
      <c r="A2434" s="88" t="s">
        <v>482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480</v>
      </c>
      <c r="H2434" s="85" t="s">
        <v>479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137</v>
      </c>
      <c r="AA2434" s="79"/>
    </row>
    <row r="2435" spans="1:27">
      <c r="A2435" s="88" t="s">
        <v>481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480</v>
      </c>
      <c r="H2435" s="85" t="s">
        <v>479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137</v>
      </c>
      <c r="AA2435" s="79"/>
    </row>
    <row r="2436" spans="1:27">
      <c r="A2436" s="88" t="s">
        <v>478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473</v>
      </c>
      <c r="H2436" s="85" t="s">
        <v>477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137</v>
      </c>
      <c r="AA2436" s="79"/>
    </row>
    <row r="2437" spans="1:27">
      <c r="A2437" s="88" t="s">
        <v>476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473</v>
      </c>
      <c r="H2437" s="85" t="s">
        <v>475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137</v>
      </c>
      <c r="AA2437" s="79"/>
    </row>
    <row r="2438" spans="1:27">
      <c r="A2438" s="88" t="s">
        <v>474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473</v>
      </c>
      <c r="H2438" s="85" t="s">
        <v>472</v>
      </c>
      <c r="I2438" s="85" t="s">
        <v>471</v>
      </c>
      <c r="J2438" s="85" t="s">
        <v>470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137</v>
      </c>
      <c r="AA2438" s="79"/>
    </row>
    <row r="2439" spans="1:27">
      <c r="A2439" s="88" t="s">
        <v>469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199</v>
      </c>
      <c r="H2439" s="85" t="s">
        <v>360</v>
      </c>
      <c r="I2439" s="85" t="s">
        <v>414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137</v>
      </c>
      <c r="AA2439" s="79"/>
    </row>
    <row r="2440" spans="1:27">
      <c r="A2440" s="88" t="s">
        <v>468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467</v>
      </c>
      <c r="H2440" s="85" t="s">
        <v>360</v>
      </c>
      <c r="I2440" s="85" t="s">
        <v>414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137</v>
      </c>
      <c r="AA2440" s="79"/>
    </row>
    <row r="2441" spans="1:27">
      <c r="A2441" s="88" t="s">
        <v>466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216</v>
      </c>
      <c r="H2441" s="85" t="s">
        <v>215</v>
      </c>
      <c r="I2441" s="85" t="s">
        <v>465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137</v>
      </c>
      <c r="AA2441" s="79"/>
    </row>
    <row r="2442" spans="1:27">
      <c r="A2442" s="88" t="s">
        <v>464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453</v>
      </c>
      <c r="H2442" s="85" t="s">
        <v>461</v>
      </c>
      <c r="I2442" s="85" t="s">
        <v>403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137</v>
      </c>
      <c r="AA2442" s="79"/>
    </row>
    <row r="2443" spans="1:27">
      <c r="A2443" s="88" t="s">
        <v>463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453</v>
      </c>
      <c r="H2443" s="85" t="s">
        <v>461</v>
      </c>
      <c r="I2443" s="85" t="s">
        <v>401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137</v>
      </c>
      <c r="AA2443" s="79"/>
    </row>
    <row r="2444" spans="1:27">
      <c r="A2444" s="88" t="s">
        <v>462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453</v>
      </c>
      <c r="H2444" s="85" t="s">
        <v>461</v>
      </c>
      <c r="I2444" s="85" t="s">
        <v>399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137</v>
      </c>
      <c r="AA2444" s="79"/>
    </row>
    <row r="2445" spans="1:27">
      <c r="A2445" s="88" t="s">
        <v>460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453</v>
      </c>
      <c r="H2445" s="85" t="s">
        <v>457</v>
      </c>
      <c r="I2445" s="85" t="s">
        <v>403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137</v>
      </c>
      <c r="AA2445" s="79"/>
    </row>
    <row r="2446" spans="1:27">
      <c r="A2446" s="88" t="s">
        <v>459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453</v>
      </c>
      <c r="H2446" s="85" t="s">
        <v>457</v>
      </c>
      <c r="I2446" s="85" t="s">
        <v>401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137</v>
      </c>
      <c r="AA2446" s="79"/>
    </row>
    <row r="2447" spans="1:27">
      <c r="A2447" s="88" t="s">
        <v>458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453</v>
      </c>
      <c r="H2447" s="85" t="s">
        <v>457</v>
      </c>
      <c r="I2447" s="85" t="s">
        <v>399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137</v>
      </c>
      <c r="AA2447" s="79"/>
    </row>
    <row r="2448" spans="1:27">
      <c r="A2448" s="88" t="s">
        <v>456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453</v>
      </c>
      <c r="H2448" s="85" t="s">
        <v>412</v>
      </c>
      <c r="I2448" s="85" t="s">
        <v>411</v>
      </c>
      <c r="J2448" s="85" t="s">
        <v>403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137</v>
      </c>
      <c r="AA2448" s="79"/>
    </row>
    <row r="2449" spans="1:27">
      <c r="A2449" s="88" t="s">
        <v>455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453</v>
      </c>
      <c r="H2449" s="85" t="s">
        <v>412</v>
      </c>
      <c r="I2449" s="85" t="s">
        <v>411</v>
      </c>
      <c r="J2449" s="85" t="s">
        <v>401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137</v>
      </c>
      <c r="AA2449" s="79"/>
    </row>
    <row r="2450" spans="1:27">
      <c r="A2450" s="88" t="s">
        <v>454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453</v>
      </c>
      <c r="H2450" s="85" t="s">
        <v>412</v>
      </c>
      <c r="I2450" s="85" t="s">
        <v>411</v>
      </c>
      <c r="J2450" s="85" t="s">
        <v>399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137</v>
      </c>
      <c r="AA2450" s="79"/>
    </row>
    <row r="2451" spans="1:27">
      <c r="A2451" s="88" t="s">
        <v>452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451</v>
      </c>
      <c r="H2451" s="85" t="s">
        <v>450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137</v>
      </c>
      <c r="AA2451" s="79"/>
    </row>
    <row r="2452" spans="1:27">
      <c r="A2452" s="88" t="s">
        <v>449</v>
      </c>
      <c r="B2452" s="83" t="str">
        <f t="shared" si="611"/>
        <v>KARIREKIN_SOTOGAKU</v>
      </c>
      <c r="C2452" s="266" t="s">
        <v>753</v>
      </c>
      <c r="D2452" s="82" t="str">
        <f t="shared" si="608"/>
        <v>Number</v>
      </c>
      <c r="E2452" s="82">
        <f t="shared" si="609"/>
        <v>11</v>
      </c>
      <c r="F2452" s="82" t="str">
        <f t="shared" si="610"/>
        <v/>
      </c>
      <c r="G2452" s="92" t="s">
        <v>448</v>
      </c>
      <c r="H2452" s="85" t="s">
        <v>434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137</v>
      </c>
      <c r="AA2452" s="267" t="s">
        <v>6506</v>
      </c>
    </row>
    <row r="2453" spans="1:27">
      <c r="A2453" s="88" t="s">
        <v>447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446</v>
      </c>
      <c r="H2453" s="85" t="s">
        <v>445</v>
      </c>
      <c r="I2453" s="85" t="s">
        <v>444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137</v>
      </c>
      <c r="AA2453" s="79"/>
    </row>
    <row r="2454" spans="1:27">
      <c r="A2454" s="88" t="s">
        <v>443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274</v>
      </c>
      <c r="H2454" s="85" t="s">
        <v>442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137</v>
      </c>
      <c r="AA2454" s="79"/>
    </row>
    <row r="2455" spans="1:27">
      <c r="A2455" s="88" t="s">
        <v>441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440</v>
      </c>
      <c r="H2455" s="85" t="s">
        <v>439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137</v>
      </c>
      <c r="AA2455" s="79"/>
    </row>
    <row r="2456" spans="1:27">
      <c r="A2456" s="88" t="s">
        <v>438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435</v>
      </c>
      <c r="H2456" s="85" t="s">
        <v>437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137</v>
      </c>
      <c r="AA2456" s="79"/>
    </row>
    <row r="2457" spans="1:27">
      <c r="A2457" s="88" t="s">
        <v>436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435</v>
      </c>
      <c r="H2457" s="85" t="s">
        <v>434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137</v>
      </c>
      <c r="AA2457" s="79"/>
    </row>
    <row r="2458" spans="1:27">
      <c r="A2458" s="88" t="s">
        <v>433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432</v>
      </c>
      <c r="H2458" s="85" t="s">
        <v>431</v>
      </c>
      <c r="I2458" s="85" t="s">
        <v>430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137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278</v>
      </c>
      <c r="H2459" s="85" t="s">
        <v>429</v>
      </c>
      <c r="I2459" s="85" t="s">
        <v>428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137</v>
      </c>
      <c r="AA2459" s="79"/>
    </row>
    <row r="2460" spans="1:27">
      <c r="A2460" s="88" t="s">
        <v>38</v>
      </c>
      <c r="B2460" s="83" t="str">
        <f t="shared" si="611"/>
        <v>CHOIKIN</v>
      </c>
      <c r="C2460" s="266" t="s">
        <v>753</v>
      </c>
      <c r="D2460" s="82" t="str">
        <f t="shared" si="608"/>
        <v>Number</v>
      </c>
      <c r="E2460" s="82">
        <f t="shared" si="609"/>
        <v>11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137</v>
      </c>
      <c r="AA2460" s="267" t="s">
        <v>6506</v>
      </c>
    </row>
    <row r="2461" spans="1:27">
      <c r="A2461" s="88" t="s">
        <v>427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416</v>
      </c>
      <c r="H2461" s="85" t="s">
        <v>410</v>
      </c>
      <c r="I2461" s="85" t="s">
        <v>405</v>
      </c>
      <c r="J2461" s="85" t="s">
        <v>401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137</v>
      </c>
      <c r="AA2461" s="79"/>
    </row>
    <row r="2462" spans="1:27">
      <c r="A2462" s="88" t="s">
        <v>426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416</v>
      </c>
      <c r="H2462" s="85" t="s">
        <v>410</v>
      </c>
      <c r="I2462" s="85" t="s">
        <v>405</v>
      </c>
      <c r="J2462" s="85" t="s">
        <v>399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137</v>
      </c>
      <c r="AA2462" s="79"/>
    </row>
    <row r="2463" spans="1:27">
      <c r="A2463" s="88" t="s">
        <v>425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416</v>
      </c>
      <c r="H2463" s="85" t="s">
        <v>410</v>
      </c>
      <c r="I2463" s="85" t="s">
        <v>405</v>
      </c>
      <c r="J2463" s="85" t="s">
        <v>397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137</v>
      </c>
      <c r="AA2463" s="79"/>
    </row>
    <row r="2464" spans="1:27">
      <c r="A2464" s="88" t="s">
        <v>424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416</v>
      </c>
      <c r="H2464" s="85" t="s">
        <v>410</v>
      </c>
      <c r="I2464" s="85" t="s">
        <v>405</v>
      </c>
      <c r="J2464" s="85" t="s">
        <v>395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137</v>
      </c>
      <c r="AA2464" s="79"/>
    </row>
    <row r="2465" spans="1:27">
      <c r="A2465" s="88" t="s">
        <v>423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416</v>
      </c>
      <c r="H2465" s="85" t="s">
        <v>410</v>
      </c>
      <c r="I2465" s="85" t="s">
        <v>405</v>
      </c>
      <c r="J2465" s="85" t="s">
        <v>390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137</v>
      </c>
      <c r="AA2465" s="79"/>
    </row>
    <row r="2466" spans="1:27">
      <c r="A2466" s="88" t="s">
        <v>422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416</v>
      </c>
      <c r="H2466" s="85" t="s">
        <v>410</v>
      </c>
      <c r="I2466" s="85" t="s">
        <v>415</v>
      </c>
      <c r="J2466" s="85" t="s">
        <v>414</v>
      </c>
      <c r="K2466" s="85" t="s">
        <v>403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137</v>
      </c>
      <c r="AA2466" s="79"/>
    </row>
    <row r="2467" spans="1:27">
      <c r="A2467" s="88" t="s">
        <v>421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416</v>
      </c>
      <c r="H2467" s="85" t="s">
        <v>410</v>
      </c>
      <c r="I2467" s="85" t="s">
        <v>415</v>
      </c>
      <c r="J2467" s="85" t="s">
        <v>414</v>
      </c>
      <c r="K2467" s="85" t="s">
        <v>401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137</v>
      </c>
      <c r="AA2467" s="79"/>
    </row>
    <row r="2468" spans="1:27">
      <c r="A2468" s="88" t="s">
        <v>420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416</v>
      </c>
      <c r="H2468" s="85" t="s">
        <v>410</v>
      </c>
      <c r="I2468" s="85" t="s">
        <v>415</v>
      </c>
      <c r="J2468" s="85" t="s">
        <v>414</v>
      </c>
      <c r="K2468" s="85" t="s">
        <v>399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137</v>
      </c>
      <c r="AA2468" s="79"/>
    </row>
    <row r="2469" spans="1:27">
      <c r="A2469" s="88" t="s">
        <v>419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416</v>
      </c>
      <c r="H2469" s="85" t="s">
        <v>410</v>
      </c>
      <c r="I2469" s="85" t="s">
        <v>415</v>
      </c>
      <c r="J2469" s="85" t="s">
        <v>414</v>
      </c>
      <c r="K2469" s="85" t="s">
        <v>397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137</v>
      </c>
      <c r="AA2469" s="79"/>
    </row>
    <row r="2470" spans="1:27">
      <c r="A2470" s="88" t="s">
        <v>418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416</v>
      </c>
      <c r="H2470" s="85" t="s">
        <v>410</v>
      </c>
      <c r="I2470" s="85" t="s">
        <v>415</v>
      </c>
      <c r="J2470" s="85" t="s">
        <v>414</v>
      </c>
      <c r="K2470" s="85" t="s">
        <v>395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137</v>
      </c>
      <c r="AA2470" s="79"/>
    </row>
    <row r="2471" spans="1:27">
      <c r="A2471" s="88" t="s">
        <v>417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416</v>
      </c>
      <c r="H2471" s="85" t="s">
        <v>410</v>
      </c>
      <c r="I2471" s="85" t="s">
        <v>415</v>
      </c>
      <c r="J2471" s="85" t="s">
        <v>414</v>
      </c>
      <c r="K2471" s="85" t="s">
        <v>390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137</v>
      </c>
      <c r="AA2471" s="79"/>
    </row>
    <row r="2472" spans="1:27">
      <c r="A2472" s="88" t="s">
        <v>413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412</v>
      </c>
      <c r="H2472" s="85" t="s">
        <v>411</v>
      </c>
      <c r="I2472" s="85" t="s">
        <v>410</v>
      </c>
      <c r="J2472" s="85" t="s">
        <v>405</v>
      </c>
      <c r="K2472" s="85" t="s">
        <v>401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137</v>
      </c>
      <c r="AA2472" s="79"/>
    </row>
    <row r="2473" spans="1:27">
      <c r="A2473" s="88" t="s">
        <v>409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393</v>
      </c>
      <c r="H2473" s="85" t="s">
        <v>405</v>
      </c>
      <c r="I2473" s="85" t="s">
        <v>399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137</v>
      </c>
      <c r="AA2473" s="79"/>
    </row>
    <row r="2474" spans="1:27">
      <c r="A2474" s="88" t="s">
        <v>408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393</v>
      </c>
      <c r="H2474" s="85" t="s">
        <v>405</v>
      </c>
      <c r="I2474" s="85" t="s">
        <v>397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137</v>
      </c>
      <c r="AA2474" s="79"/>
    </row>
    <row r="2475" spans="1:27">
      <c r="A2475" s="88" t="s">
        <v>407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393</v>
      </c>
      <c r="H2475" s="85" t="s">
        <v>405</v>
      </c>
      <c r="I2475" s="85" t="s">
        <v>395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137</v>
      </c>
      <c r="AA2475" s="79"/>
    </row>
    <row r="2476" spans="1:27">
      <c r="A2476" s="88" t="s">
        <v>406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393</v>
      </c>
      <c r="H2476" s="85" t="s">
        <v>405</v>
      </c>
      <c r="I2476" s="85" t="s">
        <v>390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137</v>
      </c>
      <c r="AA2476" s="79"/>
    </row>
    <row r="2477" spans="1:27">
      <c r="A2477" s="88" t="s">
        <v>404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393</v>
      </c>
      <c r="H2477" s="85" t="s">
        <v>392</v>
      </c>
      <c r="I2477" s="85" t="s">
        <v>391</v>
      </c>
      <c r="J2477" s="85" t="s">
        <v>403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137</v>
      </c>
      <c r="AA2477" s="79"/>
    </row>
    <row r="2478" spans="1:27">
      <c r="A2478" s="88" t="s">
        <v>402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393</v>
      </c>
      <c r="H2478" s="85" t="s">
        <v>392</v>
      </c>
      <c r="I2478" s="85" t="s">
        <v>391</v>
      </c>
      <c r="J2478" s="85" t="s">
        <v>401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137</v>
      </c>
      <c r="AA2478" s="79"/>
    </row>
    <row r="2479" spans="1:27">
      <c r="A2479" s="88" t="s">
        <v>400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393</v>
      </c>
      <c r="H2479" s="85" t="s">
        <v>392</v>
      </c>
      <c r="I2479" s="85" t="s">
        <v>391</v>
      </c>
      <c r="J2479" s="85" t="s">
        <v>399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137</v>
      </c>
      <c r="AA2479" s="79"/>
    </row>
    <row r="2480" spans="1:27">
      <c r="A2480" s="88" t="s">
        <v>398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393</v>
      </c>
      <c r="H2480" s="85" t="s">
        <v>392</v>
      </c>
      <c r="I2480" s="85" t="s">
        <v>391</v>
      </c>
      <c r="J2480" s="85" t="s">
        <v>397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137</v>
      </c>
      <c r="AA2480" s="79"/>
    </row>
    <row r="2481" spans="1:27">
      <c r="A2481" s="88" t="s">
        <v>396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393</v>
      </c>
      <c r="H2481" s="85" t="s">
        <v>392</v>
      </c>
      <c r="I2481" s="85" t="s">
        <v>391</v>
      </c>
      <c r="J2481" s="85" t="s">
        <v>395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137</v>
      </c>
      <c r="AA2481" s="79"/>
    </row>
    <row r="2482" spans="1:27">
      <c r="A2482" s="88" t="s">
        <v>394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393</v>
      </c>
      <c r="H2482" s="85" t="s">
        <v>392</v>
      </c>
      <c r="I2482" s="85" t="s">
        <v>391</v>
      </c>
      <c r="J2482" s="85" t="s">
        <v>390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137</v>
      </c>
      <c r="AA2482" s="79"/>
    </row>
    <row r="2483" spans="1:27">
      <c r="A2483" s="88" t="s">
        <v>389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388</v>
      </c>
      <c r="H2483" s="85" t="s">
        <v>384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137</v>
      </c>
      <c r="AA2483" s="79"/>
    </row>
    <row r="2484" spans="1:27">
      <c r="A2484" s="88" t="s">
        <v>387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386</v>
      </c>
      <c r="H2484" s="85" t="s">
        <v>385</v>
      </c>
      <c r="I2484" s="85" t="s">
        <v>384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379</v>
      </c>
      <c r="AA2484" s="79"/>
    </row>
    <row r="2485" spans="1:27">
      <c r="A2485" s="88" t="s">
        <v>383</v>
      </c>
      <c r="B2485" s="83" t="str">
        <f t="shared" si="611"/>
        <v>OFFER_KEIRO_C_RIYU</v>
      </c>
      <c r="C2485" s="87" t="s">
        <v>377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382</v>
      </c>
      <c r="H2485" s="85" t="s">
        <v>198</v>
      </c>
      <c r="I2485" s="85" t="s">
        <v>381</v>
      </c>
      <c r="J2485" s="85" t="s">
        <v>374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379</v>
      </c>
      <c r="AA2485" s="79"/>
    </row>
    <row r="2486" spans="1:27">
      <c r="A2486" s="88" t="s">
        <v>380</v>
      </c>
      <c r="B2486" s="83" t="str">
        <f t="shared" si="611"/>
        <v>INSURED_C_RIYU</v>
      </c>
      <c r="C2486" s="87" t="s">
        <v>377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205</v>
      </c>
      <c r="H2486" s="85" t="s">
        <v>375</v>
      </c>
      <c r="I2486" s="85" t="s">
        <v>374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379</v>
      </c>
      <c r="AA2486" s="79"/>
    </row>
    <row r="2487" spans="1:27">
      <c r="A2487" s="88" t="s">
        <v>378</v>
      </c>
      <c r="B2487" s="83" t="str">
        <f t="shared" si="611"/>
        <v>PLCYHLDR_C_RIYU</v>
      </c>
      <c r="C2487" s="87" t="s">
        <v>377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376</v>
      </c>
      <c r="H2487" s="85" t="s">
        <v>375</v>
      </c>
      <c r="I2487" s="85" t="s">
        <v>374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373</v>
      </c>
      <c r="AA2487" s="79"/>
    </row>
    <row r="2488" spans="1:27">
      <c r="A2488" s="88" t="s">
        <v>372</v>
      </c>
      <c r="B2488" s="83" t="str">
        <f t="shared" si="611"/>
        <v>KANYU_DOI</v>
      </c>
      <c r="C2488" s="87" t="s">
        <v>371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370</v>
      </c>
      <c r="H2488" s="85" t="s">
        <v>369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365</v>
      </c>
      <c r="AA2488" s="79"/>
    </row>
    <row r="2489" spans="1:27">
      <c r="A2489" s="88" t="s">
        <v>368</v>
      </c>
      <c r="B2489" s="83" t="str">
        <f t="shared" si="611"/>
        <v>SHIYO_KOZA_KB</v>
      </c>
      <c r="C2489" s="87" t="s">
        <v>363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367</v>
      </c>
      <c r="H2489" s="85" t="s">
        <v>366</v>
      </c>
      <c r="I2489" s="85" t="s">
        <v>177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365</v>
      </c>
      <c r="AA2489" s="79"/>
    </row>
    <row r="2490" spans="1:27">
      <c r="A2490" s="88" t="s">
        <v>364</v>
      </c>
      <c r="B2490" s="83" t="str">
        <f t="shared" si="611"/>
        <v>TSUSAN_SHIBO_HOKEN_KINGAKU</v>
      </c>
      <c r="C2490" s="87" t="s">
        <v>363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362</v>
      </c>
      <c r="H2490" s="85" t="s">
        <v>361</v>
      </c>
      <c r="I2490" s="85" t="s">
        <v>360</v>
      </c>
      <c r="J2490" s="85" t="s">
        <v>359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137</v>
      </c>
      <c r="AA2490" s="79"/>
    </row>
    <row r="2491" spans="1:27">
      <c r="A2491" s="88" t="s">
        <v>358</v>
      </c>
      <c r="B2491" s="83" t="str">
        <f t="shared" si="611"/>
        <v>HARAIKOMI_MEISHO_NEMBARAI</v>
      </c>
      <c r="C2491" s="87" t="s">
        <v>191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349</v>
      </c>
      <c r="H2491" s="85" t="s">
        <v>348</v>
      </c>
      <c r="I2491" s="85" t="s">
        <v>357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137</v>
      </c>
      <c r="AA2491" s="79"/>
    </row>
    <row r="2492" spans="1:27">
      <c r="A2492" s="88" t="s">
        <v>356</v>
      </c>
      <c r="B2492" s="83" t="str">
        <f t="shared" si="611"/>
        <v>HARAIKOMI_MEISHO_HANTOSHIBARAI</v>
      </c>
      <c r="C2492" s="87" t="s">
        <v>191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349</v>
      </c>
      <c r="H2492" s="85" t="s">
        <v>348</v>
      </c>
      <c r="I2492" s="85" t="s">
        <v>355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137</v>
      </c>
      <c r="AA2492" s="79"/>
    </row>
    <row r="2493" spans="1:27">
      <c r="A2493" s="88" t="s">
        <v>354</v>
      </c>
      <c r="B2493" s="83" t="str">
        <f t="shared" si="611"/>
        <v>HARAIKOMI_MEISHO_TSUKIHARAI</v>
      </c>
      <c r="C2493" s="87" t="s">
        <v>191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349</v>
      </c>
      <c r="H2493" s="85" t="s">
        <v>348</v>
      </c>
      <c r="I2493" s="85" t="s">
        <v>353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137</v>
      </c>
      <c r="AA2493" s="79"/>
    </row>
    <row r="2494" spans="1:27">
      <c r="A2494" s="88" t="s">
        <v>352</v>
      </c>
      <c r="B2494" s="83" t="str">
        <f t="shared" si="611"/>
        <v>HARAIKOMI_MEISHO_ICHIJIBARAI</v>
      </c>
      <c r="C2494" s="87" t="s">
        <v>191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349</v>
      </c>
      <c r="H2494" s="85" t="s">
        <v>348</v>
      </c>
      <c r="I2494" s="85" t="s">
        <v>351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137</v>
      </c>
      <c r="AA2494" s="79"/>
    </row>
    <row r="2495" spans="1:27">
      <c r="A2495" s="88" t="s">
        <v>350</v>
      </c>
      <c r="B2495" s="83" t="str">
        <f t="shared" si="611"/>
        <v>HARAIKOMI_MEISHO</v>
      </c>
      <c r="C2495" s="87" t="s">
        <v>191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349</v>
      </c>
      <c r="H2495" s="85" t="s">
        <v>348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137</v>
      </c>
      <c r="AA2495" s="79"/>
    </row>
    <row r="2496" spans="1:27">
      <c r="A2496" s="88" t="s">
        <v>347</v>
      </c>
      <c r="B2496" s="83" t="str">
        <f t="shared" si="611"/>
        <v>CORP_KB_JOJO_KIGYO</v>
      </c>
      <c r="C2496" s="87" t="s">
        <v>191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195</v>
      </c>
      <c r="H2496" s="85" t="s">
        <v>177</v>
      </c>
      <c r="I2496" s="85" t="s">
        <v>346</v>
      </c>
      <c r="J2496" s="85" t="s">
        <v>216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137</v>
      </c>
      <c r="AA2496" s="79"/>
    </row>
    <row r="2497" spans="1:27">
      <c r="A2497" s="88" t="s">
        <v>345</v>
      </c>
      <c r="B2497" s="83" t="str">
        <f t="shared" si="611"/>
        <v>CORP_KB_OTHER_KIGYO</v>
      </c>
      <c r="C2497" s="87" t="s">
        <v>191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195</v>
      </c>
      <c r="H2497" s="85" t="s">
        <v>177</v>
      </c>
      <c r="I2497" s="85" t="s">
        <v>207</v>
      </c>
      <c r="J2497" s="85" t="s">
        <v>216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137</v>
      </c>
      <c r="AA2497" s="79"/>
    </row>
    <row r="2498" spans="1:27">
      <c r="A2498" s="88" t="s">
        <v>344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191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289</v>
      </c>
      <c r="H2498" s="85" t="s">
        <v>341</v>
      </c>
      <c r="I2498" s="85" t="s">
        <v>343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137</v>
      </c>
      <c r="AA2498" s="79"/>
    </row>
    <row r="2499" spans="1:27">
      <c r="A2499" s="88" t="s">
        <v>342</v>
      </c>
      <c r="B2499" s="83" t="str">
        <f t="shared" si="627"/>
        <v>REAL_RULER_UMU_NASHI</v>
      </c>
      <c r="C2499" s="87" t="s">
        <v>191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289</v>
      </c>
      <c r="H2499" s="85" t="s">
        <v>341</v>
      </c>
      <c r="I2499" s="85" t="s">
        <v>340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137</v>
      </c>
      <c r="AA2499" s="79"/>
    </row>
    <row r="2500" spans="1:27">
      <c r="A2500" s="88" t="s">
        <v>339</v>
      </c>
      <c r="B2500" s="83" t="str">
        <f t="shared" si="627"/>
        <v>JIGYO_C_NORINGYO</v>
      </c>
      <c r="C2500" s="87" t="s">
        <v>191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316</v>
      </c>
      <c r="H2500" s="85" t="s">
        <v>338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137</v>
      </c>
      <c r="AA2500" s="79"/>
    </row>
    <row r="2501" spans="1:27">
      <c r="A2501" s="88" t="s">
        <v>337</v>
      </c>
      <c r="B2501" s="83" t="str">
        <f t="shared" si="627"/>
        <v>JIGYO_C_SEIZO</v>
      </c>
      <c r="C2501" s="87" t="s">
        <v>191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316</v>
      </c>
      <c r="H2501" s="85" t="s">
        <v>336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137</v>
      </c>
      <c r="AA2501" s="79"/>
    </row>
    <row r="2502" spans="1:27">
      <c r="A2502" s="88" t="s">
        <v>335</v>
      </c>
      <c r="B2502" s="83" t="str">
        <f t="shared" si="627"/>
        <v>JIGYO_C_KENSETSU</v>
      </c>
      <c r="C2502" s="87" t="s">
        <v>191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316</v>
      </c>
      <c r="H2502" s="85" t="s">
        <v>334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137</v>
      </c>
      <c r="AA2502" s="79"/>
    </row>
    <row r="2503" spans="1:27">
      <c r="A2503" s="88" t="s">
        <v>333</v>
      </c>
      <c r="B2503" s="83" t="str">
        <f t="shared" si="627"/>
        <v>JIGYO_C_IT</v>
      </c>
      <c r="C2503" s="87" t="s">
        <v>191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316</v>
      </c>
      <c r="H2503" s="85" t="s">
        <v>332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137</v>
      </c>
      <c r="AA2503" s="79"/>
    </row>
    <row r="2504" spans="1:27">
      <c r="A2504" s="88" t="s">
        <v>331</v>
      </c>
      <c r="B2504" s="83" t="str">
        <f t="shared" si="627"/>
        <v>JIGYO_C_UNYU</v>
      </c>
      <c r="C2504" s="87" t="s">
        <v>191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316</v>
      </c>
      <c r="H2504" s="85" t="s">
        <v>330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137</v>
      </c>
      <c r="AA2504" s="79"/>
    </row>
    <row r="2505" spans="1:27">
      <c r="A2505" s="88" t="s">
        <v>329</v>
      </c>
      <c r="B2505" s="83" t="str">
        <f t="shared" si="627"/>
        <v>JIGYO_C_OROSHIURI</v>
      </c>
      <c r="C2505" s="87" t="s">
        <v>191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316</v>
      </c>
      <c r="H2505" s="85" t="s">
        <v>328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137</v>
      </c>
      <c r="AA2505" s="79"/>
    </row>
    <row r="2506" spans="1:27">
      <c r="A2506" s="88" t="s">
        <v>327</v>
      </c>
      <c r="B2506" s="83" t="str">
        <f t="shared" si="627"/>
        <v>JIGYO_C_KINYU</v>
      </c>
      <c r="C2506" s="87" t="s">
        <v>191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316</v>
      </c>
      <c r="H2506" s="85" t="s">
        <v>326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137</v>
      </c>
      <c r="AA2506" s="79"/>
    </row>
    <row r="2507" spans="1:27">
      <c r="A2507" s="88" t="s">
        <v>325</v>
      </c>
      <c r="B2507" s="83" t="str">
        <f t="shared" si="627"/>
        <v>JIGYO_C_FUDOSAN</v>
      </c>
      <c r="C2507" s="87" t="s">
        <v>191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316</v>
      </c>
      <c r="H2507" s="85" t="s">
        <v>324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137</v>
      </c>
      <c r="AA2507" s="79"/>
    </row>
    <row r="2508" spans="1:27">
      <c r="A2508" s="88" t="s">
        <v>323</v>
      </c>
      <c r="B2508" s="83" t="str">
        <f t="shared" si="627"/>
        <v>JIGYO_C_SABISU</v>
      </c>
      <c r="C2508" s="87" t="s">
        <v>191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316</v>
      </c>
      <c r="H2508" s="85" t="s">
        <v>322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137</v>
      </c>
      <c r="AA2508" s="79"/>
    </row>
    <row r="2509" spans="1:27">
      <c r="A2509" s="88" t="s">
        <v>321</v>
      </c>
      <c r="B2509" s="83" t="str">
        <f t="shared" si="627"/>
        <v>JIGYO_C_OTHER</v>
      </c>
      <c r="C2509" s="87" t="s">
        <v>191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316</v>
      </c>
      <c r="H2509" s="85" t="s">
        <v>207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137</v>
      </c>
      <c r="AA2509" s="79"/>
    </row>
    <row r="2510" spans="1:27">
      <c r="A2510" s="88" t="s">
        <v>320</v>
      </c>
      <c r="B2510" s="83" t="str">
        <f t="shared" si="627"/>
        <v>JIGYO_C_KAKUNIN_DOC_TEIKAN</v>
      </c>
      <c r="C2510" s="87" t="s">
        <v>191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316</v>
      </c>
      <c r="H2510" s="85" t="s">
        <v>315</v>
      </c>
      <c r="I2510" s="85" t="s">
        <v>319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137</v>
      </c>
      <c r="AA2510" s="79"/>
    </row>
    <row r="2511" spans="1:27">
      <c r="A2511" s="88" t="s">
        <v>318</v>
      </c>
      <c r="B2511" s="83" t="str">
        <f t="shared" si="627"/>
        <v>JIGYO_C_KAKUNIN_DOC_TOKIBO</v>
      </c>
      <c r="C2511" s="87" t="s">
        <v>191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316</v>
      </c>
      <c r="H2511" s="85" t="s">
        <v>315</v>
      </c>
      <c r="I2511" s="85" t="s">
        <v>218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137</v>
      </c>
      <c r="AA2511" s="79"/>
    </row>
    <row r="2512" spans="1:27">
      <c r="A2512" s="88" t="s">
        <v>317</v>
      </c>
      <c r="B2512" s="83" t="str">
        <f t="shared" si="627"/>
        <v>JIGYO_C_KAKUNIN_DOC_OTHER</v>
      </c>
      <c r="C2512" s="87" t="s">
        <v>191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316</v>
      </c>
      <c r="H2512" s="85" t="s">
        <v>315</v>
      </c>
      <c r="I2512" s="85" t="s">
        <v>207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137</v>
      </c>
      <c r="AA2512" s="79"/>
    </row>
    <row r="2513" spans="1:27">
      <c r="A2513" s="88" t="s">
        <v>314</v>
      </c>
      <c r="B2513" s="83" t="str">
        <f t="shared" si="627"/>
        <v>SALES_ALLOWANCE_SHIKYU_KB_LIST_STAFF</v>
      </c>
      <c r="C2513" s="87" t="s">
        <v>191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308</v>
      </c>
      <c r="H2513" s="85" t="s">
        <v>307</v>
      </c>
      <c r="I2513" s="85" t="s">
        <v>295</v>
      </c>
      <c r="J2513" s="85" t="s">
        <v>305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137</v>
      </c>
      <c r="AA2513" s="79"/>
    </row>
    <row r="2514" spans="1:27">
      <c r="A2514" s="88" t="s">
        <v>313</v>
      </c>
      <c r="B2514" s="83" t="str">
        <f t="shared" si="627"/>
        <v>SALES_ALLOWANCE_SHIKYU_KB_LIST_IKUSEI_STAFF_1_2</v>
      </c>
      <c r="C2514" s="87" t="s">
        <v>191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312</v>
      </c>
      <c r="H2514" s="85" t="s">
        <v>311</v>
      </c>
      <c r="I2514" s="85" t="s">
        <v>295</v>
      </c>
      <c r="J2514" s="85" t="s">
        <v>306</v>
      </c>
      <c r="K2514" s="85" t="s">
        <v>305</v>
      </c>
      <c r="L2514" s="84" t="s">
        <v>310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137</v>
      </c>
      <c r="AA2514" s="79"/>
    </row>
    <row r="2515" spans="1:27">
      <c r="A2515" s="88" t="s">
        <v>309</v>
      </c>
      <c r="B2515" s="83" t="str">
        <f t="shared" si="627"/>
        <v>SALES_ALLOWANCE_SHIKYU_KB_LIST_IKUSEI_STAFF_3_4</v>
      </c>
      <c r="C2515" s="87" t="s">
        <v>191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308</v>
      </c>
      <c r="H2515" s="85" t="s">
        <v>307</v>
      </c>
      <c r="I2515" s="85" t="s">
        <v>295</v>
      </c>
      <c r="J2515" s="85" t="s">
        <v>306</v>
      </c>
      <c r="K2515" s="85" t="s">
        <v>305</v>
      </c>
      <c r="L2515" s="84" t="s">
        <v>304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137</v>
      </c>
      <c r="AA2515" s="79"/>
    </row>
    <row r="2516" spans="1:27">
      <c r="A2516" s="88" t="s">
        <v>303</v>
      </c>
      <c r="B2516" s="83" t="str">
        <f t="shared" si="627"/>
        <v>SAKUGEN_KB_LIST_TSUJO_PLCY</v>
      </c>
      <c r="C2516" s="87" t="s">
        <v>191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296</v>
      </c>
      <c r="H2516" s="85" t="s">
        <v>288</v>
      </c>
      <c r="I2516" s="85" t="s">
        <v>295</v>
      </c>
      <c r="J2516" s="85" t="s">
        <v>302</v>
      </c>
      <c r="K2516" s="85" t="s">
        <v>298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137</v>
      </c>
      <c r="AA2516" s="79"/>
    </row>
    <row r="2517" spans="1:27">
      <c r="A2517" s="88" t="s">
        <v>301</v>
      </c>
      <c r="B2517" s="83" t="str">
        <f t="shared" si="627"/>
        <v>SAKUGEN_KB_LIST_CC_LEAD_PLCY</v>
      </c>
      <c r="C2517" s="87" t="s">
        <v>191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296</v>
      </c>
      <c r="H2517" s="85" t="s">
        <v>288</v>
      </c>
      <c r="I2517" s="85" t="s">
        <v>295</v>
      </c>
      <c r="J2517" s="85" t="s">
        <v>300</v>
      </c>
      <c r="K2517" s="85" t="s">
        <v>299</v>
      </c>
      <c r="L2517" s="84" t="s">
        <v>298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137</v>
      </c>
      <c r="AA2517" s="79"/>
    </row>
    <row r="2518" spans="1:27">
      <c r="A2518" s="88" t="s">
        <v>297</v>
      </c>
      <c r="B2518" s="83" t="str">
        <f t="shared" si="627"/>
        <v>SAKUGEN_KB_LIST_UPDATE_TEIKI</v>
      </c>
      <c r="C2518" s="87" t="s">
        <v>191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296</v>
      </c>
      <c r="H2518" s="85" t="s">
        <v>288</v>
      </c>
      <c r="I2518" s="85" t="s">
        <v>295</v>
      </c>
      <c r="J2518" s="85" t="s">
        <v>294</v>
      </c>
      <c r="K2518" s="85" t="s">
        <v>293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137</v>
      </c>
      <c r="AA2518" s="79"/>
    </row>
    <row r="2519" spans="1:27">
      <c r="A2519" s="88" t="s">
        <v>292</v>
      </c>
      <c r="B2519" s="83" t="str">
        <f t="shared" si="627"/>
        <v>CORP_KB</v>
      </c>
      <c r="C2519" s="87" t="s">
        <v>191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291</v>
      </c>
      <c r="H2519" s="85" t="s">
        <v>288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137</v>
      </c>
      <c r="AA2519" s="79"/>
    </row>
    <row r="2520" spans="1:27">
      <c r="A2520" s="88" t="s">
        <v>290</v>
      </c>
      <c r="B2520" s="83" t="str">
        <f t="shared" si="627"/>
        <v>REAL_RULER_KB</v>
      </c>
      <c r="C2520" s="87" t="s">
        <v>191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289</v>
      </c>
      <c r="H2520" s="85" t="s">
        <v>288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137</v>
      </c>
      <c r="AA2520" s="79"/>
    </row>
    <row r="2521" spans="1:27">
      <c r="A2521" s="88" t="s">
        <v>287</v>
      </c>
      <c r="B2521" s="83" t="str">
        <f t="shared" si="627"/>
        <v>JIGYO_C_KAKUNIN_DOC</v>
      </c>
      <c r="C2521" s="87" t="s">
        <v>191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286</v>
      </c>
      <c r="H2521" s="85" t="s">
        <v>285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137</v>
      </c>
      <c r="AA2521" s="79"/>
    </row>
    <row r="2522" spans="1:27">
      <c r="A2522" s="88" t="s">
        <v>284</v>
      </c>
      <c r="B2522" s="83" t="str">
        <f t="shared" si="627"/>
        <v>SAKUGEN_KB</v>
      </c>
      <c r="C2522" s="87" t="s">
        <v>191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283</v>
      </c>
      <c r="H2522" s="85" t="s">
        <v>177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137</v>
      </c>
      <c r="AA2522" s="79"/>
    </row>
    <row r="2523" spans="1:27">
      <c r="A2523" s="88" t="s">
        <v>282</v>
      </c>
      <c r="B2523" s="83" t="str">
        <f t="shared" si="627"/>
        <v>INSURED_HANI_KB_DAIHYO</v>
      </c>
      <c r="C2523" s="87" t="s">
        <v>191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205</v>
      </c>
      <c r="H2523" s="85" t="s">
        <v>281</v>
      </c>
      <c r="I2523" s="85" t="s">
        <v>177</v>
      </c>
      <c r="J2523" s="85" t="s">
        <v>280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137</v>
      </c>
      <c r="AA2523" s="79"/>
    </row>
    <row r="2524" spans="1:27">
      <c r="A2524" s="88" t="s">
        <v>279</v>
      </c>
      <c r="B2524" s="83" t="str">
        <f t="shared" si="627"/>
        <v>INSURED_HANI_KB_YAKUIN</v>
      </c>
      <c r="C2524" s="87" t="s">
        <v>191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205</v>
      </c>
      <c r="H2524" s="85" t="s">
        <v>204</v>
      </c>
      <c r="I2524" s="85" t="s">
        <v>177</v>
      </c>
      <c r="J2524" s="85" t="s">
        <v>278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137</v>
      </c>
      <c r="AA2524" s="79"/>
    </row>
    <row r="2525" spans="1:27">
      <c r="A2525" s="88" t="s">
        <v>277</v>
      </c>
      <c r="B2525" s="83" t="str">
        <f t="shared" si="627"/>
        <v>INSURED_HANI_KB_KANRISHOKU</v>
      </c>
      <c r="C2525" s="87" t="s">
        <v>191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205</v>
      </c>
      <c r="H2525" s="85" t="s">
        <v>204</v>
      </c>
      <c r="I2525" s="85" t="s">
        <v>177</v>
      </c>
      <c r="J2525" s="85" t="s">
        <v>276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137</v>
      </c>
      <c r="AA2525" s="79"/>
    </row>
    <row r="2526" spans="1:27">
      <c r="A2526" s="88" t="s">
        <v>275</v>
      </c>
      <c r="B2526" s="83" t="str">
        <f t="shared" si="627"/>
        <v>INSURED_HANI_KB_JUGYOIN</v>
      </c>
      <c r="C2526" s="87" t="s">
        <v>191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205</v>
      </c>
      <c r="H2526" s="85" t="s">
        <v>204</v>
      </c>
      <c r="I2526" s="85" t="s">
        <v>177</v>
      </c>
      <c r="J2526" s="85" t="s">
        <v>274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137</v>
      </c>
      <c r="AA2526" s="79"/>
    </row>
    <row r="2527" spans="1:27">
      <c r="A2527" s="88" t="s">
        <v>273</v>
      </c>
      <c r="B2527" s="83" t="str">
        <f t="shared" si="627"/>
        <v>KANYU_DOI_KAKUNIN_HOHO_HONNIN</v>
      </c>
      <c r="C2527" s="87" t="s">
        <v>191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202</v>
      </c>
      <c r="H2527" s="85" t="s">
        <v>201</v>
      </c>
      <c r="I2527" s="85" t="s">
        <v>194</v>
      </c>
      <c r="J2527" s="85" t="s">
        <v>193</v>
      </c>
      <c r="K2527" s="85" t="s">
        <v>272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137</v>
      </c>
      <c r="AA2527" s="79"/>
    </row>
    <row r="2528" spans="1:27">
      <c r="A2528" s="88" t="s">
        <v>271</v>
      </c>
      <c r="B2528" s="83" t="str">
        <f t="shared" si="627"/>
        <v>KANYU_DOI_KAKUNIN_HOHO_SETSUMEIKAI</v>
      </c>
      <c r="C2528" s="87" t="s">
        <v>191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202</v>
      </c>
      <c r="H2528" s="85" t="s">
        <v>201</v>
      </c>
      <c r="I2528" s="85" t="s">
        <v>194</v>
      </c>
      <c r="J2528" s="85" t="s">
        <v>193</v>
      </c>
      <c r="K2528" s="85" t="s">
        <v>270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137</v>
      </c>
      <c r="AA2528" s="79"/>
    </row>
    <row r="2529" spans="1:27">
      <c r="A2529" s="88" t="s">
        <v>269</v>
      </c>
      <c r="B2529" s="83" t="str">
        <f t="shared" si="627"/>
        <v>KANYU_DOI_KAKUNIN_HOHO_SHANAI_TSUCHI</v>
      </c>
      <c r="C2529" s="87" t="s">
        <v>191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202</v>
      </c>
      <c r="H2529" s="85" t="s">
        <v>201</v>
      </c>
      <c r="I2529" s="85" t="s">
        <v>194</v>
      </c>
      <c r="J2529" s="85" t="s">
        <v>193</v>
      </c>
      <c r="K2529" s="85" t="s">
        <v>268</v>
      </c>
      <c r="L2529" s="84" t="s">
        <v>267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137</v>
      </c>
      <c r="AA2529" s="79"/>
    </row>
    <row r="2530" spans="1:27">
      <c r="A2530" s="88" t="s">
        <v>266</v>
      </c>
      <c r="B2530" s="83" t="str">
        <f t="shared" si="627"/>
        <v>KANYU_DOI_KAKUNIN_HOHO_TAISHOKU_KITEI</v>
      </c>
      <c r="C2530" s="87" t="s">
        <v>191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202</v>
      </c>
      <c r="H2530" s="85" t="s">
        <v>201</v>
      </c>
      <c r="I2530" s="85" t="s">
        <v>194</v>
      </c>
      <c r="J2530" s="85" t="s">
        <v>265</v>
      </c>
      <c r="K2530" s="85" t="s">
        <v>264</v>
      </c>
      <c r="L2530" s="84" t="s">
        <v>263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137</v>
      </c>
      <c r="AA2530" s="79"/>
    </row>
    <row r="2531" spans="1:27">
      <c r="A2531" s="88" t="s">
        <v>262</v>
      </c>
      <c r="B2531" s="83" t="str">
        <f t="shared" si="627"/>
        <v>OFFER_KEIRO_IKKATSU_FAMILY</v>
      </c>
      <c r="C2531" s="87" t="s">
        <v>191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199</v>
      </c>
      <c r="H2531" s="85" t="s">
        <v>198</v>
      </c>
      <c r="I2531" s="85" t="s">
        <v>197</v>
      </c>
      <c r="J2531" s="85" t="s">
        <v>261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137</v>
      </c>
      <c r="AA2531" s="79"/>
    </row>
    <row r="2532" spans="1:27">
      <c r="A2532" s="88" t="s">
        <v>260</v>
      </c>
      <c r="B2532" s="83" t="str">
        <f t="shared" si="627"/>
        <v>OFFER_KEIRO_IKKATSU_FRIEND</v>
      </c>
      <c r="C2532" s="87" t="s">
        <v>191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199</v>
      </c>
      <c r="H2532" s="85" t="s">
        <v>198</v>
      </c>
      <c r="I2532" s="85" t="s">
        <v>197</v>
      </c>
      <c r="J2532" s="85" t="s">
        <v>259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137</v>
      </c>
      <c r="AA2532" s="79"/>
    </row>
    <row r="2533" spans="1:27">
      <c r="A2533" s="88" t="s">
        <v>258</v>
      </c>
      <c r="B2533" s="83" t="str">
        <f t="shared" si="627"/>
        <v>OFFER_KEIRO_IKKATSU_KI_PLCY</v>
      </c>
      <c r="C2533" s="87" t="s">
        <v>191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199</v>
      </c>
      <c r="H2533" s="85" t="s">
        <v>198</v>
      </c>
      <c r="I2533" s="85" t="s">
        <v>197</v>
      </c>
      <c r="J2533" s="85" t="s">
        <v>257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137</v>
      </c>
      <c r="AA2533" s="79"/>
    </row>
    <row r="2534" spans="1:27">
      <c r="A2534" s="88" t="s">
        <v>256</v>
      </c>
      <c r="B2534" s="83" t="str">
        <f t="shared" si="627"/>
        <v>OFFER_KEIRO_IKKATSU_CCI</v>
      </c>
      <c r="C2534" s="87" t="s">
        <v>191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199</v>
      </c>
      <c r="H2534" s="85" t="s">
        <v>198</v>
      </c>
      <c r="I2534" s="85" t="s">
        <v>197</v>
      </c>
      <c r="J2534" s="85" t="s">
        <v>255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137</v>
      </c>
      <c r="AA2534" s="79"/>
    </row>
    <row r="2535" spans="1:27">
      <c r="A2535" s="88" t="s">
        <v>254</v>
      </c>
      <c r="B2535" s="83" t="str">
        <f t="shared" si="627"/>
        <v>OFFER_KEIRO_IKKATSU_SHOKAI</v>
      </c>
      <c r="C2535" s="87" t="s">
        <v>191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199</v>
      </c>
      <c r="H2535" s="85" t="s">
        <v>198</v>
      </c>
      <c r="I2535" s="85" t="s">
        <v>197</v>
      </c>
      <c r="J2535" s="85" t="s">
        <v>253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137</v>
      </c>
      <c r="AA2535" s="79"/>
    </row>
    <row r="2536" spans="1:27">
      <c r="A2536" s="88" t="s">
        <v>252</v>
      </c>
      <c r="B2536" s="83" t="str">
        <f t="shared" si="627"/>
        <v>OFFER_KEIRO_IKKATSU_TOBIKOMI</v>
      </c>
      <c r="C2536" s="87" t="s">
        <v>191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199</v>
      </c>
      <c r="H2536" s="85" t="s">
        <v>198</v>
      </c>
      <c r="I2536" s="85" t="s">
        <v>197</v>
      </c>
      <c r="J2536" s="85" t="s">
        <v>251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137</v>
      </c>
      <c r="AA2536" s="79"/>
    </row>
    <row r="2537" spans="1:27">
      <c r="A2537" s="88" t="s">
        <v>250</v>
      </c>
      <c r="B2537" s="83" t="str">
        <f t="shared" si="627"/>
        <v>OFFER_KEIRO_IKKATSU_CHOKUSETSU</v>
      </c>
      <c r="C2537" s="87" t="s">
        <v>191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199</v>
      </c>
      <c r="H2537" s="85" t="s">
        <v>198</v>
      </c>
      <c r="I2537" s="85" t="s">
        <v>197</v>
      </c>
      <c r="J2537" s="85" t="s">
        <v>249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137</v>
      </c>
      <c r="AA2537" s="79"/>
    </row>
    <row r="2538" spans="1:27">
      <c r="A2538" s="88" t="s">
        <v>248</v>
      </c>
      <c r="B2538" s="83" t="str">
        <f t="shared" si="627"/>
        <v>OFFER_KEIRO_IKKATSU_KOKOKU</v>
      </c>
      <c r="C2538" s="87" t="s">
        <v>191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199</v>
      </c>
      <c r="H2538" s="85" t="s">
        <v>198</v>
      </c>
      <c r="I2538" s="85" t="s">
        <v>197</v>
      </c>
      <c r="J2538" s="85" t="s">
        <v>247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137</v>
      </c>
      <c r="AA2538" s="79"/>
    </row>
    <row r="2539" spans="1:27">
      <c r="A2539" s="88" t="s">
        <v>246</v>
      </c>
      <c r="B2539" s="83" t="str">
        <f t="shared" si="627"/>
        <v>OFFER_KEIRO_IKKATSU_OTHER</v>
      </c>
      <c r="C2539" s="87" t="s">
        <v>191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199</v>
      </c>
      <c r="H2539" s="85" t="s">
        <v>198</v>
      </c>
      <c r="I2539" s="85" t="s">
        <v>197</v>
      </c>
      <c r="J2539" s="85" t="s">
        <v>207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137</v>
      </c>
      <c r="AA2539" s="79"/>
    </row>
    <row r="2540" spans="1:27">
      <c r="A2540" s="88" t="s">
        <v>245</v>
      </c>
      <c r="B2540" s="83" t="str">
        <f t="shared" si="627"/>
        <v>CORP_KAKUNIN_HOHO_HOMON</v>
      </c>
      <c r="C2540" s="87" t="s">
        <v>191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195</v>
      </c>
      <c r="H2540" s="85" t="s">
        <v>194</v>
      </c>
      <c r="I2540" s="85" t="s">
        <v>193</v>
      </c>
      <c r="J2540" s="85" t="s">
        <v>244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137</v>
      </c>
      <c r="AA2540" s="79"/>
    </row>
    <row r="2541" spans="1:27">
      <c r="A2541" s="88" t="s">
        <v>243</v>
      </c>
      <c r="B2541" s="83" t="str">
        <f t="shared" si="627"/>
        <v>CORP_KAKUNIN_HOHO_TOKIBO</v>
      </c>
      <c r="C2541" s="87" t="s">
        <v>191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195</v>
      </c>
      <c r="H2541" s="85" t="s">
        <v>194</v>
      </c>
      <c r="I2541" s="85" t="s">
        <v>193</v>
      </c>
      <c r="J2541" s="85" t="s">
        <v>218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137</v>
      </c>
      <c r="AA2541" s="79"/>
    </row>
    <row r="2542" spans="1:27">
      <c r="A2542" s="88" t="s">
        <v>242</v>
      </c>
      <c r="B2542" s="83" t="str">
        <f t="shared" si="627"/>
        <v>CORP_KAKUNIN_HOHO_KIGYO_INFO</v>
      </c>
      <c r="C2542" s="87" t="s">
        <v>191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195</v>
      </c>
      <c r="H2542" s="85" t="s">
        <v>194</v>
      </c>
      <c r="I2542" s="85" t="s">
        <v>193</v>
      </c>
      <c r="J2542" s="85" t="s">
        <v>216</v>
      </c>
      <c r="K2542" s="85" t="s">
        <v>215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137</v>
      </c>
      <c r="AA2542" s="79"/>
    </row>
    <row r="2543" spans="1:27">
      <c r="A2543" s="88" t="s">
        <v>241</v>
      </c>
      <c r="B2543" s="83" t="str">
        <f t="shared" si="627"/>
        <v>CORP_KAKUNIN_HOHO_ANNAI</v>
      </c>
      <c r="C2543" s="87" t="s">
        <v>191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195</v>
      </c>
      <c r="H2543" s="85" t="s">
        <v>194</v>
      </c>
      <c r="I2543" s="85" t="s">
        <v>193</v>
      </c>
      <c r="J2543" s="85" t="s">
        <v>210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137</v>
      </c>
      <c r="AA2543" s="79"/>
    </row>
    <row r="2544" spans="1:27">
      <c r="A2544" s="88" t="s">
        <v>240</v>
      </c>
      <c r="B2544" s="83" t="str">
        <f t="shared" si="627"/>
        <v>CORP_KAKUNIN_HOHO_OTHER</v>
      </c>
      <c r="C2544" s="87" t="s">
        <v>191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195</v>
      </c>
      <c r="H2544" s="85" t="s">
        <v>194</v>
      </c>
      <c r="I2544" s="85" t="s">
        <v>193</v>
      </c>
      <c r="J2544" s="85" t="s">
        <v>207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137</v>
      </c>
      <c r="AA2544" s="79"/>
    </row>
    <row r="2545" spans="1:27">
      <c r="A2545" s="88" t="s">
        <v>239</v>
      </c>
      <c r="B2545" s="83" t="str">
        <f t="shared" si="627"/>
        <v>KANYU_MOKUTEKI_FUKURIKOSEI</v>
      </c>
      <c r="C2545" s="87" t="s">
        <v>191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202</v>
      </c>
      <c r="H2545" s="85" t="s">
        <v>236</v>
      </c>
      <c r="I2545" s="85" t="s">
        <v>238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137</v>
      </c>
      <c r="AA2545" s="79"/>
    </row>
    <row r="2546" spans="1:27">
      <c r="A2546" s="88" t="s">
        <v>237</v>
      </c>
      <c r="B2546" s="83" t="str">
        <f t="shared" si="627"/>
        <v>KANYU_MOKUTEKI_KIGYO_BOEI</v>
      </c>
      <c r="C2546" s="87" t="s">
        <v>191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202</v>
      </c>
      <c r="H2546" s="85" t="s">
        <v>236</v>
      </c>
      <c r="I2546" s="85" t="s">
        <v>235</v>
      </c>
      <c r="J2546" s="85" t="s">
        <v>234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137</v>
      </c>
      <c r="AA2546" s="79"/>
    </row>
    <row r="2547" spans="1:27">
      <c r="A2547" s="88" t="s">
        <v>233</v>
      </c>
      <c r="B2547" s="83" t="str">
        <f t="shared" si="627"/>
        <v>S_KETTEI_KIJUN_SHOKKAI_BETSU</v>
      </c>
      <c r="C2547" s="87" t="s">
        <v>191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190</v>
      </c>
      <c r="H2547" s="85" t="s">
        <v>189</v>
      </c>
      <c r="I2547" s="85" t="s">
        <v>188</v>
      </c>
      <c r="J2547" s="85" t="s">
        <v>232</v>
      </c>
      <c r="K2547" s="85" t="s">
        <v>156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231</v>
      </c>
      <c r="AA2547" s="79"/>
    </row>
    <row r="2548" spans="1:27">
      <c r="A2548" s="88" t="s">
        <v>230</v>
      </c>
      <c r="B2548" s="83" t="str">
        <f t="shared" si="627"/>
        <v>S_KETTEI_KIJUN_KIMMU_NENSU_BETSU</v>
      </c>
      <c r="C2548" s="87" t="s">
        <v>229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190</v>
      </c>
      <c r="H2548" s="85" t="s">
        <v>189</v>
      </c>
      <c r="I2548" s="85" t="s">
        <v>188</v>
      </c>
      <c r="J2548" s="85" t="s">
        <v>228</v>
      </c>
      <c r="K2548" s="85" t="s">
        <v>227</v>
      </c>
      <c r="L2548" s="84" t="s">
        <v>156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137</v>
      </c>
      <c r="AA2548" s="79"/>
    </row>
    <row r="2549" spans="1:27">
      <c r="A2549" s="88" t="s">
        <v>226</v>
      </c>
      <c r="B2549" s="83" t="str">
        <f t="shared" si="627"/>
        <v>S_KETTEI_KIJUN_AGE_BETSU</v>
      </c>
      <c r="C2549" s="87" t="s">
        <v>191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190</v>
      </c>
      <c r="H2549" s="85" t="s">
        <v>189</v>
      </c>
      <c r="I2549" s="85" t="s">
        <v>188</v>
      </c>
      <c r="J2549" s="85" t="s">
        <v>21</v>
      </c>
      <c r="K2549" s="85" t="s">
        <v>156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137</v>
      </c>
      <c r="AA2549" s="79"/>
    </row>
    <row r="2550" spans="1:27">
      <c r="A2550" s="88" t="s">
        <v>225</v>
      </c>
      <c r="B2550" s="83" t="str">
        <f t="shared" si="627"/>
        <v>S_KETTEI_KIJUN_ZENIN_ICHIRITSU</v>
      </c>
      <c r="C2550" s="87" t="s">
        <v>191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190</v>
      </c>
      <c r="H2550" s="85" t="s">
        <v>189</v>
      </c>
      <c r="I2550" s="85" t="s">
        <v>188</v>
      </c>
      <c r="J2550" s="85" t="s">
        <v>224</v>
      </c>
      <c r="K2550" s="85" t="s">
        <v>223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137</v>
      </c>
      <c r="AA2550" s="79"/>
    </row>
    <row r="2551" spans="1:27">
      <c r="A2551" s="88" t="s">
        <v>222</v>
      </c>
      <c r="B2551" s="83" t="str">
        <f t="shared" si="627"/>
        <v>S_KETTEI_KIJUN_OTHER</v>
      </c>
      <c r="C2551" s="87" t="s">
        <v>191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190</v>
      </c>
      <c r="H2551" s="85" t="s">
        <v>221</v>
      </c>
      <c r="I2551" s="85" t="s">
        <v>220</v>
      </c>
      <c r="J2551" s="85" t="s">
        <v>207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137</v>
      </c>
      <c r="AA2551" s="79"/>
    </row>
    <row r="2552" spans="1:27">
      <c r="A2552" s="88" t="s">
        <v>219</v>
      </c>
      <c r="B2552" s="83" t="str">
        <f t="shared" si="627"/>
        <v>DAIHYOSHA_KAKUNIN_HOHO_TOKIBO</v>
      </c>
      <c r="C2552" s="87" t="s">
        <v>191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208</v>
      </c>
      <c r="H2552" s="85" t="s">
        <v>194</v>
      </c>
      <c r="I2552" s="85" t="s">
        <v>193</v>
      </c>
      <c r="J2552" s="85" t="s">
        <v>218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137</v>
      </c>
      <c r="AA2552" s="79"/>
    </row>
    <row r="2553" spans="1:27">
      <c r="A2553" s="88" t="s">
        <v>217</v>
      </c>
      <c r="B2553" s="83" t="str">
        <f t="shared" si="627"/>
        <v>DAIHYOSHA_KAKUNIN_HOHO_KIGYO_INFO</v>
      </c>
      <c r="C2553" s="87" t="s">
        <v>191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208</v>
      </c>
      <c r="H2553" s="85" t="s">
        <v>194</v>
      </c>
      <c r="I2553" s="85" t="s">
        <v>193</v>
      </c>
      <c r="J2553" s="85" t="s">
        <v>216</v>
      </c>
      <c r="K2553" s="85" t="s">
        <v>215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137</v>
      </c>
      <c r="AA2553" s="79"/>
    </row>
    <row r="2554" spans="1:27">
      <c r="A2554" s="88" t="s">
        <v>214</v>
      </c>
      <c r="B2554" s="83" t="str">
        <f t="shared" si="627"/>
        <v>DAIHYOSHA_KAKUNIN_HOHO_SHOKO_NENKAN</v>
      </c>
      <c r="C2554" s="87" t="s">
        <v>191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208</v>
      </c>
      <c r="H2554" s="85" t="s">
        <v>194</v>
      </c>
      <c r="I2554" s="85" t="s">
        <v>193</v>
      </c>
      <c r="J2554" s="85" t="s">
        <v>213</v>
      </c>
      <c r="K2554" s="85" t="s">
        <v>212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137</v>
      </c>
      <c r="AA2554" s="79"/>
    </row>
    <row r="2555" spans="1:27">
      <c r="A2555" s="88" t="s">
        <v>211</v>
      </c>
      <c r="B2555" s="83" t="str">
        <f t="shared" si="627"/>
        <v>DAIHYOSHA_KAKUNIN_HOHO_ANNAI</v>
      </c>
      <c r="C2555" s="87" t="s">
        <v>191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208</v>
      </c>
      <c r="H2555" s="85" t="s">
        <v>194</v>
      </c>
      <c r="I2555" s="85" t="s">
        <v>193</v>
      </c>
      <c r="J2555" s="85" t="s">
        <v>210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137</v>
      </c>
      <c r="AA2555" s="79"/>
    </row>
    <row r="2556" spans="1:27">
      <c r="A2556" s="88" t="s">
        <v>209</v>
      </c>
      <c r="B2556" s="83" t="str">
        <f t="shared" si="627"/>
        <v>DAIHYOSHA_KAKUNIN_HOHO_OTHER</v>
      </c>
      <c r="C2556" s="87" t="s">
        <v>191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208</v>
      </c>
      <c r="H2556" s="85" t="s">
        <v>194</v>
      </c>
      <c r="I2556" s="85" t="s">
        <v>193</v>
      </c>
      <c r="J2556" s="85" t="s">
        <v>207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137</v>
      </c>
      <c r="AA2556" s="79"/>
    </row>
    <row r="2557" spans="1:27">
      <c r="A2557" s="88" t="s">
        <v>206</v>
      </c>
      <c r="B2557" s="83" t="str">
        <f t="shared" si="627"/>
        <v>INSURED_HANI_KB</v>
      </c>
      <c r="C2557" s="87" t="s">
        <v>191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205</v>
      </c>
      <c r="H2557" s="85" t="s">
        <v>204</v>
      </c>
      <c r="I2557" s="85" t="s">
        <v>177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137</v>
      </c>
      <c r="AA2557" s="79"/>
    </row>
    <row r="2558" spans="1:27">
      <c r="A2558" s="88" t="s">
        <v>203</v>
      </c>
      <c r="B2558" s="83" t="str">
        <f t="shared" si="627"/>
        <v>KANYU_DOI_KAKUNIN_HOHO</v>
      </c>
      <c r="C2558" s="87" t="s">
        <v>191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202</v>
      </c>
      <c r="H2558" s="85" t="s">
        <v>201</v>
      </c>
      <c r="I2558" s="85" t="s">
        <v>194</v>
      </c>
      <c r="J2558" s="85" t="s">
        <v>193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137</v>
      </c>
      <c r="AA2558" s="79"/>
    </row>
    <row r="2559" spans="1:27">
      <c r="A2559" s="88" t="s">
        <v>200</v>
      </c>
      <c r="B2559" s="83" t="str">
        <f t="shared" si="627"/>
        <v>OFFER_KEIRO_IKKATSU</v>
      </c>
      <c r="C2559" s="87" t="s">
        <v>191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199</v>
      </c>
      <c r="H2559" s="85" t="s">
        <v>198</v>
      </c>
      <c r="I2559" s="85" t="s">
        <v>197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137</v>
      </c>
      <c r="AA2559" s="79"/>
    </row>
    <row r="2560" spans="1:27">
      <c r="A2560" s="88" t="s">
        <v>196</v>
      </c>
      <c r="B2560" s="83" t="str">
        <f t="shared" si="627"/>
        <v>CORP_KAKUNIN_HOHO</v>
      </c>
      <c r="C2560" s="87" t="s">
        <v>191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195</v>
      </c>
      <c r="H2560" s="85" t="s">
        <v>194</v>
      </c>
      <c r="I2560" s="85" t="s">
        <v>193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137</v>
      </c>
      <c r="AA2560" s="79"/>
    </row>
    <row r="2561" spans="1:28">
      <c r="A2561" s="88" t="s">
        <v>192</v>
      </c>
      <c r="B2561" s="83" t="str">
        <f t="shared" si="627"/>
        <v>S_KETTEI_KIJUN</v>
      </c>
      <c r="C2561" s="87" t="s">
        <v>191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190</v>
      </c>
      <c r="H2561" s="85" t="s">
        <v>189</v>
      </c>
      <c r="I2561" s="85" t="s">
        <v>188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137</v>
      </c>
      <c r="AA2561" s="79"/>
    </row>
    <row r="2562" spans="1:28">
      <c r="A2562" s="88" t="s">
        <v>187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186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185</v>
      </c>
      <c r="H2562" s="85" t="s">
        <v>184</v>
      </c>
      <c r="I2562" s="85" t="s">
        <v>183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182</v>
      </c>
      <c r="AA2562" s="79"/>
    </row>
    <row r="2563" spans="1:28">
      <c r="A2563" s="88" t="s">
        <v>181</v>
      </c>
      <c r="B2563" s="83" t="str">
        <f t="shared" si="643"/>
        <v>DENSHI_AUTO_KB</v>
      </c>
      <c r="C2563" s="87" t="s">
        <v>180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179</v>
      </c>
      <c r="H2563" s="85" t="s">
        <v>178</v>
      </c>
      <c r="I2563" s="85" t="s">
        <v>177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137</v>
      </c>
      <c r="AA2563" s="79"/>
    </row>
    <row r="2564" spans="1:28">
      <c r="A2564" s="88" t="s">
        <v>176</v>
      </c>
      <c r="B2564" s="83" t="str">
        <f t="shared" si="643"/>
        <v>APP_FRM_EDABAN</v>
      </c>
      <c r="C2564" s="87" t="s">
        <v>176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175</v>
      </c>
      <c r="H2564" s="85" t="s">
        <v>174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137</v>
      </c>
      <c r="AA2564" s="79"/>
    </row>
    <row r="2565" spans="1:28">
      <c r="A2565" s="88" t="s">
        <v>173</v>
      </c>
      <c r="B2565" s="83" t="str">
        <f t="shared" si="643"/>
        <v>MIN_VALUE</v>
      </c>
      <c r="C2565" s="87" t="s">
        <v>173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172</v>
      </c>
      <c r="H2565" s="85" t="s">
        <v>169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137</v>
      </c>
      <c r="AA2565" s="79"/>
    </row>
    <row r="2566" spans="1:28">
      <c r="A2566" s="88" t="s">
        <v>171</v>
      </c>
      <c r="B2566" s="83" t="str">
        <f t="shared" si="643"/>
        <v>MAX_VALUE</v>
      </c>
      <c r="C2566" s="87" t="s">
        <v>171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170</v>
      </c>
      <c r="H2566" s="85" t="s">
        <v>169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137</v>
      </c>
      <c r="AA2566" s="79"/>
    </row>
    <row r="2567" spans="1:28">
      <c r="A2567" s="88" t="s">
        <v>168</v>
      </c>
      <c r="B2567" s="83" t="str">
        <f t="shared" si="643"/>
        <v>T_DOC_UKETSUKE_NO_SAIBAN</v>
      </c>
      <c r="C2567" s="87" t="s">
        <v>159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167</v>
      </c>
      <c r="H2567" s="85" t="s">
        <v>166</v>
      </c>
      <c r="I2567" s="85" t="s">
        <v>165</v>
      </c>
      <c r="J2567" s="85" t="s">
        <v>164</v>
      </c>
      <c r="K2567" s="85" t="s">
        <v>163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137</v>
      </c>
      <c r="AA2567" s="79"/>
    </row>
    <row r="2568" spans="1:28">
      <c r="A2568" s="88" t="s">
        <v>162</v>
      </c>
      <c r="B2568" s="83" t="str">
        <f t="shared" si="643"/>
        <v>M_PROCESS_BETSU_SENI_CTRL</v>
      </c>
      <c r="C2568" s="87" t="s">
        <v>159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158</v>
      </c>
      <c r="H2568" s="85" t="s">
        <v>161</v>
      </c>
      <c r="I2568" s="85" t="s">
        <v>156</v>
      </c>
      <c r="J2568" s="85" t="s">
        <v>151</v>
      </c>
      <c r="K2568" s="85" t="s">
        <v>155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137</v>
      </c>
      <c r="AA2568" s="79"/>
    </row>
    <row r="2569" spans="1:28">
      <c r="A2569" s="88" t="s">
        <v>160</v>
      </c>
      <c r="B2569" s="83" t="str">
        <f t="shared" si="643"/>
        <v>M_SHOHIN_BETSU_SENI_CTRL</v>
      </c>
      <c r="C2569" s="87" t="s">
        <v>159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158</v>
      </c>
      <c r="H2569" s="85" t="s">
        <v>157</v>
      </c>
      <c r="I2569" s="85" t="s">
        <v>156</v>
      </c>
      <c r="J2569" s="85" t="s">
        <v>151</v>
      </c>
      <c r="K2569" s="85" t="s">
        <v>155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137</v>
      </c>
      <c r="AA2569" s="79"/>
    </row>
    <row r="2570" spans="1:28">
      <c r="A2570" s="88" t="s">
        <v>154</v>
      </c>
      <c r="B2570" s="83" t="str">
        <f t="shared" si="643"/>
        <v>SCR_SENI_PATTERN</v>
      </c>
      <c r="C2570" s="87" t="s">
        <v>153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152</v>
      </c>
      <c r="H2570" s="85" t="s">
        <v>151</v>
      </c>
      <c r="I2570" s="85" t="s">
        <v>150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137</v>
      </c>
      <c r="AA2570" s="79"/>
    </row>
    <row r="2571" spans="1:28">
      <c r="A2571" s="88" t="s">
        <v>149</v>
      </c>
      <c r="B2571" s="83" t="str">
        <f t="shared" si="643"/>
        <v>DISP_JOKEN_KANSU</v>
      </c>
      <c r="C2571" s="87" t="s">
        <v>148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147</v>
      </c>
      <c r="H2571" s="85" t="s">
        <v>146</v>
      </c>
      <c r="I2571" s="85" t="s">
        <v>145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137</v>
      </c>
      <c r="AA2571" s="79"/>
    </row>
    <row r="2572" spans="1:28">
      <c r="A2572" s="88" t="s">
        <v>144</v>
      </c>
      <c r="B2572" s="83" t="str">
        <f t="shared" si="643"/>
        <v>GROUP_CUST_NAME</v>
      </c>
      <c r="C2572" s="235" t="s">
        <v>140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143</v>
      </c>
      <c r="H2572" s="85" t="s">
        <v>142</v>
      </c>
      <c r="I2572" s="85" t="s">
        <v>138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137</v>
      </c>
      <c r="AA2572" s="79"/>
    </row>
    <row r="2573" spans="1:28">
      <c r="A2573" s="88" t="s">
        <v>141</v>
      </c>
      <c r="B2573" s="83" t="str">
        <f t="shared" si="643"/>
        <v>SEIDO_NAME</v>
      </c>
      <c r="C2573" s="235" t="s">
        <v>140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139</v>
      </c>
      <c r="H2573" s="85" t="s">
        <v>138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137</v>
      </c>
      <c r="AA2573" s="79"/>
    </row>
    <row r="2574" spans="1:28">
      <c r="A2574" s="247" t="s">
        <v>6465</v>
      </c>
      <c r="B2574" s="83" t="str">
        <f t="shared" si="643"/>
        <v>PLAN_ID</v>
      </c>
      <c r="C2574" s="257" t="s">
        <v>6463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9" t="s">
        <v>136</v>
      </c>
      <c r="H2574" s="260" t="s">
        <v>746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6462</v>
      </c>
      <c r="AA2574" s="246">
        <v>41581</v>
      </c>
      <c r="AB2574" s="76" t="s">
        <v>6929</v>
      </c>
    </row>
    <row r="2575" spans="1:28">
      <c r="A2575" s="247" t="s">
        <v>6914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6188</v>
      </c>
      <c r="H2575" s="260" t="s">
        <v>746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6462</v>
      </c>
      <c r="AA2575" s="246">
        <v>41581</v>
      </c>
      <c r="AB2575" s="76" t="s">
        <v>6929</v>
      </c>
    </row>
    <row r="2576" spans="1:28">
      <c r="A2576" s="247" t="s">
        <v>7031</v>
      </c>
      <c r="B2576" s="83" t="str">
        <f t="shared" si="643"/>
        <v>BUNSEKI_SB_CD</v>
      </c>
      <c r="C2576" s="257" t="s">
        <v>7018</v>
      </c>
      <c r="D2576" s="82" t="str">
        <f t="shared" si="640"/>
        <v>Char</v>
      </c>
      <c r="E2576" s="82">
        <f t="shared" si="641"/>
        <v>2</v>
      </c>
      <c r="F2576" s="82" t="str">
        <f t="shared" si="642"/>
        <v/>
      </c>
      <c r="G2576" s="259" t="s">
        <v>6464</v>
      </c>
      <c r="H2576" s="260" t="s">
        <v>842</v>
      </c>
      <c r="I2576" s="260" t="s">
        <v>7032</v>
      </c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>_</v>
      </c>
      <c r="Q2576" s="81" t="str">
        <f t="shared" si="648"/>
        <v>CD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13</v>
      </c>
      <c r="Y2576" s="76" t="e">
        <f>VLOOKUP(A2576,#REF!,1,FALSE)</f>
        <v>#REF!</v>
      </c>
      <c r="Z2576" s="245" t="s">
        <v>6462</v>
      </c>
      <c r="AA2576" s="246">
        <v>41581</v>
      </c>
      <c r="AB2576" s="76" t="s">
        <v>6929</v>
      </c>
    </row>
    <row r="2577" spans="1:28">
      <c r="A2577" s="247" t="s">
        <v>117</v>
      </c>
      <c r="B2577" s="83" t="str">
        <f t="shared" si="643"/>
        <v>EP_KANYU_AGE</v>
      </c>
      <c r="C2577" s="257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6491</v>
      </c>
      <c r="H2577" s="260" t="s">
        <v>6492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6462</v>
      </c>
      <c r="AA2577" s="246">
        <v>41581</v>
      </c>
      <c r="AB2577" s="76" t="s">
        <v>6929</v>
      </c>
    </row>
    <row r="2578" spans="1:28">
      <c r="A2578" s="247" t="s">
        <v>6496</v>
      </c>
      <c r="B2578" s="83" t="str">
        <f t="shared" si="643"/>
        <v>YUTAI_YSHOSHU_GETSUGAKU</v>
      </c>
      <c r="C2578" s="257" t="s">
        <v>753</v>
      </c>
      <c r="D2578" s="82" t="str">
        <f t="shared" si="640"/>
        <v>Number</v>
      </c>
      <c r="E2578" s="82">
        <f t="shared" si="641"/>
        <v>11</v>
      </c>
      <c r="F2578" s="82" t="str">
        <f t="shared" si="642"/>
        <v/>
      </c>
      <c r="G2578" s="259" t="s">
        <v>6494</v>
      </c>
      <c r="H2578" s="260" t="s">
        <v>6870</v>
      </c>
      <c r="I2578" s="260" t="s">
        <v>3025</v>
      </c>
      <c r="J2578" s="260"/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5" t="s">
        <v>6462</v>
      </c>
      <c r="AA2578" s="246">
        <v>41581</v>
      </c>
      <c r="AB2578" s="76" t="s">
        <v>6929</v>
      </c>
    </row>
    <row r="2579" spans="1:28">
      <c r="A2579" s="247" t="s">
        <v>118</v>
      </c>
      <c r="B2579" s="83" t="str">
        <f t="shared" si="643"/>
        <v>SYOKOJO_JUMINZEI</v>
      </c>
      <c r="C2579" s="257" t="s">
        <v>753</v>
      </c>
      <c r="D2579" s="82" t="str">
        <f t="shared" si="640"/>
        <v>Number</v>
      </c>
      <c r="E2579" s="82">
        <f t="shared" si="641"/>
        <v>11</v>
      </c>
      <c r="F2579" s="82" t="str">
        <f t="shared" si="642"/>
        <v/>
      </c>
      <c r="G2579" s="259" t="s">
        <v>6892</v>
      </c>
      <c r="H2579" s="260" t="s">
        <v>6497</v>
      </c>
      <c r="I2579" s="260"/>
      <c r="J2579" s="260"/>
      <c r="K2579" s="260"/>
      <c r="L2579" s="262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5" t="s">
        <v>6462</v>
      </c>
      <c r="AA2579" s="246">
        <v>41581</v>
      </c>
      <c r="AB2579" s="76" t="s">
        <v>6929</v>
      </c>
    </row>
    <row r="2580" spans="1:28">
      <c r="A2580" s="247" t="s">
        <v>119</v>
      </c>
      <c r="B2580" s="83" t="str">
        <f t="shared" si="643"/>
        <v>SYOKOJO_SYOTOKUZEI</v>
      </c>
      <c r="C2580" s="257" t="s">
        <v>753</v>
      </c>
      <c r="D2580" s="82" t="str">
        <f t="shared" si="640"/>
        <v>Number</v>
      </c>
      <c r="E2580" s="82">
        <f t="shared" si="641"/>
        <v>11</v>
      </c>
      <c r="F2580" s="82" t="str">
        <f t="shared" si="642"/>
        <v/>
      </c>
      <c r="G2580" s="259" t="s">
        <v>6892</v>
      </c>
      <c r="H2580" s="260" t="s">
        <v>6498</v>
      </c>
      <c r="I2580" s="260"/>
      <c r="J2580" s="260"/>
      <c r="K2580" s="260"/>
      <c r="L2580" s="262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5" t="s">
        <v>6462</v>
      </c>
      <c r="AA2580" s="246">
        <v>41581</v>
      </c>
      <c r="AB2580" s="76" t="s">
        <v>6929</v>
      </c>
    </row>
    <row r="2581" spans="1:28">
      <c r="A2581" s="247" t="s">
        <v>132</v>
      </c>
      <c r="B2581" s="83" t="str">
        <f t="shared" si="643"/>
        <v>KIBO_YAKUIN_TIROKIN</v>
      </c>
      <c r="C2581" s="257" t="s">
        <v>753</v>
      </c>
      <c r="D2581" s="82" t="str">
        <f t="shared" si="640"/>
        <v>Number</v>
      </c>
      <c r="E2581" s="82">
        <f t="shared" si="641"/>
        <v>11</v>
      </c>
      <c r="F2581" s="82" t="str">
        <f t="shared" si="642"/>
        <v/>
      </c>
      <c r="G2581" s="259" t="s">
        <v>6500</v>
      </c>
      <c r="H2581" s="260" t="s">
        <v>6501</v>
      </c>
      <c r="I2581" s="260" t="s">
        <v>6660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6462</v>
      </c>
      <c r="AA2581" s="246">
        <v>41581</v>
      </c>
      <c r="AB2581" s="76" t="s">
        <v>6929</v>
      </c>
    </row>
    <row r="2582" spans="1:28">
      <c r="A2582" s="247" t="s">
        <v>6918</v>
      </c>
      <c r="B2582" s="83" t="str">
        <f t="shared" si="643"/>
        <v>SYSTEM_CREATE_DATE</v>
      </c>
      <c r="C2582" s="257" t="s">
        <v>1483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1521</v>
      </c>
      <c r="H2582" s="260" t="s">
        <v>3238</v>
      </c>
      <c r="I2582" s="260" t="s">
        <v>553</v>
      </c>
      <c r="J2582" s="260"/>
      <c r="K2582" s="260"/>
      <c r="L2582" s="262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5" t="s">
        <v>6462</v>
      </c>
      <c r="AA2582" s="246">
        <v>41581</v>
      </c>
      <c r="AB2582" s="76" t="s">
        <v>6929</v>
      </c>
    </row>
    <row r="2583" spans="1:28">
      <c r="A2583" s="247" t="s">
        <v>6919</v>
      </c>
      <c r="B2583" s="83" t="str">
        <f t="shared" si="643"/>
        <v>SYSTEM_UPDATE_DATE</v>
      </c>
      <c r="C2583" s="257" t="s">
        <v>1483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1521</v>
      </c>
      <c r="H2583" s="260" t="s">
        <v>4257</v>
      </c>
      <c r="I2583" s="260" t="s">
        <v>553</v>
      </c>
      <c r="J2583" s="260"/>
      <c r="K2583" s="260"/>
      <c r="L2583" s="262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5" t="s">
        <v>6462</v>
      </c>
      <c r="AA2583" s="246">
        <v>41581</v>
      </c>
      <c r="AB2583" s="76" t="s">
        <v>6929</v>
      </c>
    </row>
    <row r="2584" spans="1:28">
      <c r="A2584" s="247" t="s">
        <v>6460</v>
      </c>
      <c r="B2584" s="83" t="str">
        <f t="shared" si="643"/>
        <v>T_CORP_KIHON_INFO</v>
      </c>
      <c r="C2584" s="257" t="s">
        <v>6507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6508</v>
      </c>
      <c r="H2584" s="260" t="s">
        <v>6509</v>
      </c>
      <c r="I2584" s="260" t="s">
        <v>6510</v>
      </c>
      <c r="J2584" s="260" t="s">
        <v>215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6462</v>
      </c>
      <c r="AA2584" s="246">
        <v>41581</v>
      </c>
      <c r="AB2584" s="76" t="s">
        <v>6929</v>
      </c>
    </row>
    <row r="2585" spans="1:28">
      <c r="A2585" s="247" t="s">
        <v>6992</v>
      </c>
      <c r="B2585" s="83" t="str">
        <f t="shared" si="643"/>
        <v>FAMILY_CD</v>
      </c>
      <c r="C2585" s="257" t="s">
        <v>7019</v>
      </c>
      <c r="D2585" s="82" t="str">
        <f t="shared" si="640"/>
        <v>Char</v>
      </c>
      <c r="E2585" s="82">
        <f t="shared" si="641"/>
        <v>2</v>
      </c>
      <c r="F2585" s="82" t="str">
        <f t="shared" si="642"/>
        <v/>
      </c>
      <c r="G2585" s="259" t="s">
        <v>1623</v>
      </c>
      <c r="H2585" s="260" t="s">
        <v>6993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6462</v>
      </c>
      <c r="AA2585" s="246">
        <v>41581</v>
      </c>
      <c r="AB2585" s="76" t="s">
        <v>6929</v>
      </c>
    </row>
    <row r="2586" spans="1:28">
      <c r="A2586" s="247" t="s">
        <v>6410</v>
      </c>
      <c r="B2586" s="83" t="str">
        <f t="shared" si="643"/>
        <v>DATA_UMU_FLG</v>
      </c>
      <c r="C2586" s="257" t="s">
        <v>7020</v>
      </c>
      <c r="D2586" s="82" t="str">
        <f t="shared" si="640"/>
        <v>Char</v>
      </c>
      <c r="E2586" s="82">
        <f t="shared" si="641"/>
        <v>1</v>
      </c>
      <c r="F2586" s="82" t="str">
        <f t="shared" si="642"/>
        <v/>
      </c>
      <c r="G2586" s="259" t="s">
        <v>6512</v>
      </c>
      <c r="H2586" s="260" t="s">
        <v>6513</v>
      </c>
      <c r="I2586" s="260" t="s">
        <v>465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6462</v>
      </c>
      <c r="AA2586" s="246">
        <v>41581</v>
      </c>
      <c r="AB2586" s="76" t="s">
        <v>6929</v>
      </c>
    </row>
    <row r="2587" spans="1:28">
      <c r="A2587" s="247" t="s">
        <v>6517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559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1623</v>
      </c>
      <c r="H2587" s="260" t="s">
        <v>6514</v>
      </c>
      <c r="I2587" s="260" t="s">
        <v>6515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6462</v>
      </c>
      <c r="AA2587" s="246">
        <v>41581</v>
      </c>
      <c r="AB2587" s="76" t="s">
        <v>6929</v>
      </c>
    </row>
    <row r="2588" spans="1:28">
      <c r="A2588" s="247" t="s">
        <v>6518</v>
      </c>
      <c r="B2588" s="83" t="str">
        <f t="shared" si="656"/>
        <v>FAMILY_NAME_KANA</v>
      </c>
      <c r="C2588" s="257" t="s">
        <v>2336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1623</v>
      </c>
      <c r="H2588" s="260" t="s">
        <v>559</v>
      </c>
      <c r="I2588" s="260" t="s">
        <v>6516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6462</v>
      </c>
      <c r="AA2588" s="246">
        <v>41581</v>
      </c>
      <c r="AB2588" s="76" t="s">
        <v>6929</v>
      </c>
    </row>
    <row r="2589" spans="1:28">
      <c r="A2589" s="247" t="s">
        <v>6411</v>
      </c>
      <c r="B2589" s="83" t="str">
        <f t="shared" si="656"/>
        <v>SHIGOTO</v>
      </c>
      <c r="C2589" s="257" t="s">
        <v>7018</v>
      </c>
      <c r="D2589" s="82" t="str">
        <f t="shared" si="640"/>
        <v>Char</v>
      </c>
      <c r="E2589" s="82">
        <f t="shared" si="641"/>
        <v>2</v>
      </c>
      <c r="F2589" s="82" t="str">
        <f t="shared" si="642"/>
        <v/>
      </c>
      <c r="G2589" s="259" t="s">
        <v>6411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6462</v>
      </c>
      <c r="AA2589" s="246">
        <v>41581</v>
      </c>
      <c r="AB2589" s="76" t="s">
        <v>6929</v>
      </c>
    </row>
    <row r="2590" spans="1:28">
      <c r="A2590" s="247" t="s">
        <v>6414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6519</v>
      </c>
      <c r="H2590" s="260" t="s">
        <v>6520</v>
      </c>
      <c r="I2590" s="260" t="s">
        <v>131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6462</v>
      </c>
      <c r="AA2590" s="246">
        <v>41581</v>
      </c>
      <c r="AB2590" s="76" t="s">
        <v>6929</v>
      </c>
    </row>
    <row r="2591" spans="1:28">
      <c r="A2591" s="247" t="s">
        <v>6415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6521</v>
      </c>
      <c r="H2591" s="260" t="s">
        <v>6522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6462</v>
      </c>
      <c r="AA2591" s="246">
        <v>41581</v>
      </c>
      <c r="AB2591" s="76" t="s">
        <v>6929</v>
      </c>
    </row>
    <row r="2592" spans="1:28">
      <c r="A2592" s="247" t="s">
        <v>7034</v>
      </c>
      <c r="B2592" s="83" t="str">
        <f t="shared" si="656"/>
        <v>IMEJI_GAZOU_CD</v>
      </c>
      <c r="C2592" s="257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9" t="s">
        <v>6523</v>
      </c>
      <c r="H2592" s="260" t="s">
        <v>6524</v>
      </c>
      <c r="I2592" s="260" t="s">
        <v>7032</v>
      </c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>_</v>
      </c>
      <c r="Q2592" s="81" t="str">
        <f t="shared" si="648"/>
        <v>CD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14</v>
      </c>
      <c r="Y2592" s="76" t="e">
        <f>VLOOKUP(A2592,#REF!,1,FALSE)</f>
        <v>#REF!</v>
      </c>
      <c r="Z2592" s="245" t="s">
        <v>6462</v>
      </c>
      <c r="AA2592" s="246">
        <v>41581</v>
      </c>
      <c r="AB2592" s="76" t="s">
        <v>6929</v>
      </c>
    </row>
    <row r="2593" spans="1:28">
      <c r="A2593" s="247" t="s">
        <v>6535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492</v>
      </c>
      <c r="H2593" s="260" t="s">
        <v>1679</v>
      </c>
      <c r="I2593" s="260" t="s">
        <v>6534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6462</v>
      </c>
      <c r="AA2593" s="246">
        <v>41581</v>
      </c>
      <c r="AB2593" s="76" t="s">
        <v>6929</v>
      </c>
    </row>
    <row r="2594" spans="1:28">
      <c r="A2594" s="247" t="s">
        <v>6537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6536</v>
      </c>
      <c r="H2594" s="260" t="s">
        <v>131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6462</v>
      </c>
      <c r="AA2594" s="246">
        <v>41581</v>
      </c>
      <c r="AB2594" s="76" t="s">
        <v>6929</v>
      </c>
    </row>
    <row r="2595" spans="1:28">
      <c r="A2595" s="247" t="s">
        <v>6533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6540</v>
      </c>
      <c r="H2595" s="260" t="s">
        <v>2019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6462</v>
      </c>
      <c r="AA2595" s="246">
        <v>41581</v>
      </c>
      <c r="AB2595" s="76" t="s">
        <v>6929</v>
      </c>
    </row>
    <row r="2596" spans="1:28">
      <c r="A2596" s="247" t="s">
        <v>6538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6540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6462</v>
      </c>
      <c r="AA2596" s="246">
        <v>41581</v>
      </c>
      <c r="AB2596" s="76" t="s">
        <v>6929</v>
      </c>
    </row>
    <row r="2597" spans="1:28">
      <c r="A2597" s="247" t="s">
        <v>113</v>
      </c>
      <c r="B2597" s="83" t="str">
        <f t="shared" si="657"/>
        <v>JUGYOIN_KYUYO</v>
      </c>
      <c r="C2597" s="257" t="s">
        <v>753</v>
      </c>
      <c r="D2597" s="82" t="str">
        <f t="shared" si="640"/>
        <v>Number</v>
      </c>
      <c r="E2597" s="82">
        <f t="shared" si="641"/>
        <v>11</v>
      </c>
      <c r="F2597" s="82" t="str">
        <f t="shared" si="642"/>
        <v/>
      </c>
      <c r="G2597" s="259" t="s">
        <v>6542</v>
      </c>
      <c r="H2597" s="260" t="s">
        <v>6543</v>
      </c>
      <c r="I2597" s="260" t="s">
        <v>6544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6462</v>
      </c>
      <c r="AA2597" s="246">
        <v>41581</v>
      </c>
      <c r="AB2597" s="76" t="s">
        <v>6929</v>
      </c>
    </row>
    <row r="2598" spans="1:28">
      <c r="A2598" s="247" t="s">
        <v>114</v>
      </c>
      <c r="B2598" s="83" t="str">
        <f t="shared" si="657"/>
        <v>JUGYOIN_KYUYO_HYOGETU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6542</v>
      </c>
      <c r="H2598" s="260" t="s">
        <v>6545</v>
      </c>
      <c r="I2598" s="260" t="s">
        <v>6861</v>
      </c>
      <c r="J2598" s="260"/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5" t="s">
        <v>6462</v>
      </c>
      <c r="AA2598" s="246">
        <v>41581</v>
      </c>
      <c r="AB2598" s="76" t="s">
        <v>6929</v>
      </c>
    </row>
    <row r="2599" spans="1:28">
      <c r="A2599" s="247" t="s">
        <v>7038</v>
      </c>
      <c r="B2599" s="83" t="str">
        <f t="shared" si="657"/>
        <v>KENAOSI_SHIKIN_SB_CD</v>
      </c>
      <c r="C2599" s="257" t="s">
        <v>7020</v>
      </c>
      <c r="D2599" s="82" t="str">
        <f t="shared" si="640"/>
        <v>Char</v>
      </c>
      <c r="E2599" s="82">
        <f t="shared" si="641"/>
        <v>1</v>
      </c>
      <c r="F2599" s="82" t="str">
        <f t="shared" si="642"/>
        <v/>
      </c>
      <c r="G2599" s="259" t="s">
        <v>6568</v>
      </c>
      <c r="H2599" s="260" t="s">
        <v>6546</v>
      </c>
      <c r="I2599" s="260" t="s">
        <v>842</v>
      </c>
      <c r="J2599" s="260" t="s">
        <v>7032</v>
      </c>
      <c r="K2599" s="260"/>
      <c r="L2599" s="262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>_</v>
      </c>
      <c r="S2599" s="81" t="str">
        <f t="shared" si="650"/>
        <v>CD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20</v>
      </c>
      <c r="Y2599" s="76" t="e">
        <f>VLOOKUP(A2599,#REF!,1,FALSE)</f>
        <v>#REF!</v>
      </c>
      <c r="Z2599" s="245" t="s">
        <v>6462</v>
      </c>
      <c r="AA2599" s="246">
        <v>41581</v>
      </c>
      <c r="AB2599" s="76" t="s">
        <v>6929</v>
      </c>
    </row>
    <row r="2600" spans="1:28">
      <c r="A2600" s="247" t="s">
        <v>6421</v>
      </c>
      <c r="B2600" s="83" t="str">
        <f t="shared" si="657"/>
        <v>KENAOSI_SHIKIN_INPUT</v>
      </c>
      <c r="C2600" s="257" t="s">
        <v>753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11</v>
      </c>
      <c r="F2600" s="82" t="str">
        <f t="shared" ref="F2600:F2664" si="660">IF(VLOOKUP($C2600,ドメイン,4,FALSE)=0,"",VLOOKUP($C2600,ドメイン,4,FALSE))</f>
        <v/>
      </c>
      <c r="G2600" s="259" t="s">
        <v>6568</v>
      </c>
      <c r="H2600" s="260" t="s">
        <v>6546</v>
      </c>
      <c r="I2600" s="260" t="s">
        <v>1679</v>
      </c>
      <c r="J2600" s="260"/>
      <c r="K2600" s="260"/>
      <c r="L2600" s="262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45" t="s">
        <v>6462</v>
      </c>
      <c r="AA2600" s="246">
        <v>41581</v>
      </c>
      <c r="AB2600" s="76" t="s">
        <v>6929</v>
      </c>
    </row>
    <row r="2601" spans="1:28">
      <c r="A2601" s="247" t="s">
        <v>6422</v>
      </c>
      <c r="B2601" s="83" t="str">
        <f t="shared" si="657"/>
        <v>KENAOSI_SHIKIN_SHISAN</v>
      </c>
      <c r="C2601" s="257" t="s">
        <v>753</v>
      </c>
      <c r="D2601" s="82" t="str">
        <f t="shared" si="658"/>
        <v>Number</v>
      </c>
      <c r="E2601" s="82">
        <f t="shared" si="659"/>
        <v>11</v>
      </c>
      <c r="F2601" s="82" t="str">
        <f t="shared" si="660"/>
        <v/>
      </c>
      <c r="G2601" s="259" t="s">
        <v>6568</v>
      </c>
      <c r="H2601" s="260" t="s">
        <v>6546</v>
      </c>
      <c r="I2601" s="260" t="s">
        <v>6547</v>
      </c>
      <c r="J2601" s="260"/>
      <c r="K2601" s="260"/>
      <c r="L2601" s="262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45" t="s">
        <v>6462</v>
      </c>
      <c r="AA2601" s="246">
        <v>41581</v>
      </c>
      <c r="AB2601" s="76" t="s">
        <v>6929</v>
      </c>
    </row>
    <row r="2602" spans="1:28">
      <c r="A2602" s="247" t="s">
        <v>6423</v>
      </c>
      <c r="B2602" s="83" t="str">
        <f t="shared" si="657"/>
        <v>GENKA_SYOKYAKUHI</v>
      </c>
      <c r="C2602" s="257" t="s">
        <v>753</v>
      </c>
      <c r="D2602" s="82" t="str">
        <f t="shared" si="658"/>
        <v>Number</v>
      </c>
      <c r="E2602" s="82">
        <f t="shared" si="659"/>
        <v>11</v>
      </c>
      <c r="F2602" s="82" t="str">
        <f t="shared" si="660"/>
        <v/>
      </c>
      <c r="G2602" s="259" t="s">
        <v>6548</v>
      </c>
      <c r="H2602" s="260" t="s">
        <v>6549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6462</v>
      </c>
      <c r="AA2602" s="246">
        <v>41581</v>
      </c>
      <c r="AB2602" s="76" t="s">
        <v>6929</v>
      </c>
    </row>
    <row r="2603" spans="1:28">
      <c r="A2603" s="247" t="s">
        <v>6419</v>
      </c>
      <c r="B2603" s="83" t="str">
        <f t="shared" si="657"/>
        <v>KEJO_RIEKI</v>
      </c>
      <c r="C2603" s="257" t="s">
        <v>753</v>
      </c>
      <c r="D2603" s="82" t="str">
        <f t="shared" si="658"/>
        <v>Number</v>
      </c>
      <c r="E2603" s="82">
        <f t="shared" si="659"/>
        <v>11</v>
      </c>
      <c r="F2603" s="82" t="str">
        <f t="shared" si="660"/>
        <v/>
      </c>
      <c r="G2603" s="259" t="s">
        <v>6550</v>
      </c>
      <c r="H2603" s="260" t="s">
        <v>411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6462</v>
      </c>
      <c r="AA2603" s="246">
        <v>41581</v>
      </c>
      <c r="AB2603" s="76" t="s">
        <v>6929</v>
      </c>
    </row>
    <row r="2604" spans="1:28">
      <c r="A2604" s="247" t="s">
        <v>6424</v>
      </c>
      <c r="B2604" s="83" t="str">
        <f t="shared" si="657"/>
        <v>KENAOSI_SHIKIN_KEKKA</v>
      </c>
      <c r="C2604" s="257" t="s">
        <v>753</v>
      </c>
      <c r="D2604" s="82" t="str">
        <f t="shared" si="658"/>
        <v>Number</v>
      </c>
      <c r="E2604" s="82">
        <f t="shared" si="659"/>
        <v>11</v>
      </c>
      <c r="F2604" s="82" t="str">
        <f t="shared" si="660"/>
        <v/>
      </c>
      <c r="G2604" s="259" t="s">
        <v>6568</v>
      </c>
      <c r="H2604" s="260" t="s">
        <v>6546</v>
      </c>
      <c r="I2604" s="260" t="s">
        <v>6551</v>
      </c>
      <c r="J2604" s="260"/>
      <c r="K2604" s="260"/>
      <c r="L2604" s="262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45" t="s">
        <v>6462</v>
      </c>
      <c r="AA2604" s="246">
        <v>41581</v>
      </c>
      <c r="AB2604" s="76" t="s">
        <v>6929</v>
      </c>
    </row>
    <row r="2605" spans="1:28">
      <c r="A2605" s="247" t="s">
        <v>30</v>
      </c>
      <c r="B2605" s="83" t="str">
        <f t="shared" si="657"/>
        <v>NOZE_JUMBI_SHIKIN</v>
      </c>
      <c r="C2605" s="257" t="s">
        <v>753</v>
      </c>
      <c r="D2605" s="82" t="str">
        <f t="shared" si="658"/>
        <v>Number</v>
      </c>
      <c r="E2605" s="82">
        <f t="shared" si="659"/>
        <v>11</v>
      </c>
      <c r="F2605" s="82" t="str">
        <f t="shared" si="660"/>
        <v/>
      </c>
      <c r="G2605" s="259" t="s">
        <v>6552</v>
      </c>
      <c r="H2605" s="260" t="s">
        <v>6553</v>
      </c>
      <c r="I2605" s="260" t="s">
        <v>6546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6462</v>
      </c>
      <c r="AA2605" s="246">
        <v>41581</v>
      </c>
      <c r="AB2605" s="76" t="s">
        <v>6929</v>
      </c>
    </row>
    <row r="2606" spans="1:28">
      <c r="A2606" s="247" t="s">
        <v>6420</v>
      </c>
      <c r="B2606" s="83" t="str">
        <f t="shared" si="657"/>
        <v>KEIEISHA_RISK_TAISAKIN</v>
      </c>
      <c r="C2606" s="257" t="s">
        <v>753</v>
      </c>
      <c r="D2606" s="82" t="str">
        <f t="shared" si="658"/>
        <v>Number</v>
      </c>
      <c r="E2606" s="82">
        <f t="shared" si="659"/>
        <v>11</v>
      </c>
      <c r="F2606" s="82" t="str">
        <f t="shared" si="660"/>
        <v/>
      </c>
      <c r="G2606" s="259" t="s">
        <v>6554</v>
      </c>
      <c r="H2606" s="260" t="s">
        <v>6555</v>
      </c>
      <c r="I2606" s="260" t="s">
        <v>6863</v>
      </c>
      <c r="J2606" s="260"/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45" t="s">
        <v>6462</v>
      </c>
      <c r="AA2606" s="246">
        <v>41581</v>
      </c>
      <c r="AB2606" s="76" t="s">
        <v>6929</v>
      </c>
    </row>
    <row r="2607" spans="1:28">
      <c r="A2607" s="247" t="s">
        <v>6425</v>
      </c>
      <c r="B2607" s="83" t="str">
        <f t="shared" si="657"/>
        <v>YAKUIN_ZNEN_SHIBOJI</v>
      </c>
      <c r="C2607" s="257" t="s">
        <v>753</v>
      </c>
      <c r="D2607" s="82" t="str">
        <f t="shared" si="658"/>
        <v>Number</v>
      </c>
      <c r="E2607" s="82">
        <f t="shared" si="659"/>
        <v>11</v>
      </c>
      <c r="F2607" s="82" t="str">
        <f t="shared" si="660"/>
        <v/>
      </c>
      <c r="G2607" s="259" t="s">
        <v>6556</v>
      </c>
      <c r="H2607" s="260" t="s">
        <v>6868</v>
      </c>
      <c r="I2607" s="260" t="s">
        <v>3093</v>
      </c>
      <c r="J2607" s="260"/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45" t="s">
        <v>6462</v>
      </c>
      <c r="AA2607" s="246">
        <v>41581</v>
      </c>
      <c r="AB2607" s="76" t="s">
        <v>6929</v>
      </c>
    </row>
    <row r="2608" spans="1:28">
      <c r="A2608" s="247" t="s">
        <v>36</v>
      </c>
      <c r="B2608" s="83" t="str">
        <f t="shared" si="657"/>
        <v>SHIBO_TAISHOKUKIN</v>
      </c>
      <c r="C2608" s="257" t="s">
        <v>753</v>
      </c>
      <c r="D2608" s="82" t="str">
        <f t="shared" si="658"/>
        <v>Number</v>
      </c>
      <c r="E2608" s="82">
        <f t="shared" si="659"/>
        <v>11</v>
      </c>
      <c r="F2608" s="82" t="str">
        <f t="shared" si="660"/>
        <v/>
      </c>
      <c r="G2608" s="259" t="s">
        <v>6557</v>
      </c>
      <c r="H2608" s="260" t="s">
        <v>2284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6462</v>
      </c>
      <c r="AA2608" s="246">
        <v>41581</v>
      </c>
      <c r="AB2608" s="76" t="s">
        <v>6929</v>
      </c>
    </row>
    <row r="2609" spans="1:28">
      <c r="A2609" s="247" t="s">
        <v>40</v>
      </c>
      <c r="B2609" s="83" t="str">
        <f t="shared" si="657"/>
        <v>KEIEI_HITSUYO_HSGKEI</v>
      </c>
      <c r="C2609" s="257" t="s">
        <v>753</v>
      </c>
      <c r="D2609" s="82" t="str">
        <f t="shared" si="658"/>
        <v>Number</v>
      </c>
      <c r="E2609" s="82">
        <f t="shared" si="659"/>
        <v>11</v>
      </c>
      <c r="F2609" s="82" t="str">
        <f t="shared" si="660"/>
        <v/>
      </c>
      <c r="G2609" s="259" t="s">
        <v>6569</v>
      </c>
      <c r="H2609" s="260" t="s">
        <v>2236</v>
      </c>
      <c r="I2609" s="260" t="s">
        <v>6872</v>
      </c>
      <c r="J2609" s="260"/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45" t="s">
        <v>6462</v>
      </c>
      <c r="AA2609" s="246">
        <v>41581</v>
      </c>
      <c r="AB2609" s="76" t="s">
        <v>6929</v>
      </c>
    </row>
    <row r="2610" spans="1:28">
      <c r="A2610" s="247" t="s">
        <v>2662</v>
      </c>
      <c r="B2610" s="83" t="str">
        <f t="shared" si="657"/>
        <v>NENGO</v>
      </c>
      <c r="C2610" s="257" t="s">
        <v>1832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6426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6462</v>
      </c>
      <c r="AA2610" s="246">
        <v>41581</v>
      </c>
      <c r="AB2610" s="76" t="s">
        <v>6929</v>
      </c>
    </row>
    <row r="2611" spans="1:28">
      <c r="A2611" s="247" t="s">
        <v>6428</v>
      </c>
      <c r="B2611" s="83" t="str">
        <f t="shared" si="657"/>
        <v>URIAGEDAKA_YOSOU</v>
      </c>
      <c r="C2611" s="257" t="s">
        <v>2465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6571</v>
      </c>
      <c r="H2611" s="260" t="s">
        <v>6572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6462</v>
      </c>
      <c r="AA2611" s="246">
        <v>41581</v>
      </c>
      <c r="AB2611" s="76" t="s">
        <v>6929</v>
      </c>
    </row>
    <row r="2612" spans="1:28">
      <c r="A2612" s="247" t="s">
        <v>6427</v>
      </c>
      <c r="B2612" s="83" t="str">
        <f t="shared" si="657"/>
        <v>URIAGEDAKA</v>
      </c>
      <c r="C2612" s="257" t="s">
        <v>753</v>
      </c>
      <c r="D2612" s="82" t="str">
        <f t="shared" si="658"/>
        <v>Number</v>
      </c>
      <c r="E2612" s="82">
        <f t="shared" si="659"/>
        <v>11</v>
      </c>
      <c r="F2612" s="82" t="str">
        <f t="shared" si="660"/>
        <v/>
      </c>
      <c r="G2612" s="259" t="s">
        <v>6427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6462</v>
      </c>
      <c r="AA2612" s="246">
        <v>41581</v>
      </c>
      <c r="AB2612" s="76" t="s">
        <v>6929</v>
      </c>
    </row>
    <row r="2613" spans="1:28">
      <c r="A2613" s="247" t="s">
        <v>6429</v>
      </c>
      <c r="B2613" s="83" t="str">
        <f t="shared" si="657"/>
        <v>HENDOHI</v>
      </c>
      <c r="C2613" s="257" t="s">
        <v>753</v>
      </c>
      <c r="D2613" s="82" t="str">
        <f t="shared" si="658"/>
        <v>Number</v>
      </c>
      <c r="E2613" s="82">
        <f t="shared" si="659"/>
        <v>11</v>
      </c>
      <c r="F2613" s="82" t="str">
        <f t="shared" si="660"/>
        <v/>
      </c>
      <c r="G2613" s="259" t="s">
        <v>6429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6462</v>
      </c>
      <c r="AA2613" s="246">
        <v>41581</v>
      </c>
      <c r="AB2613" s="76" t="s">
        <v>6929</v>
      </c>
    </row>
    <row r="2614" spans="1:28">
      <c r="A2614" s="247" t="s">
        <v>6430</v>
      </c>
      <c r="B2614" s="83" t="str">
        <f t="shared" si="657"/>
        <v>KOTEHI</v>
      </c>
      <c r="C2614" s="257" t="s">
        <v>753</v>
      </c>
      <c r="D2614" s="82" t="str">
        <f t="shared" si="658"/>
        <v>Number</v>
      </c>
      <c r="E2614" s="82">
        <f t="shared" si="659"/>
        <v>11</v>
      </c>
      <c r="F2614" s="82" t="str">
        <f t="shared" si="660"/>
        <v/>
      </c>
      <c r="G2614" s="259" t="s">
        <v>6430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6462</v>
      </c>
      <c r="AA2614" s="246">
        <v>41581</v>
      </c>
      <c r="AB2614" s="76" t="s">
        <v>6929</v>
      </c>
    </row>
    <row r="2615" spans="1:28">
      <c r="A2615" s="247" t="s">
        <v>6434</v>
      </c>
      <c r="B2615" s="83" t="str">
        <f t="shared" si="657"/>
        <v>YAKUIN_ZNEN_YUTAI</v>
      </c>
      <c r="C2615" s="257" t="s">
        <v>1832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6578</v>
      </c>
      <c r="H2615" s="260" t="s">
        <v>6868</v>
      </c>
      <c r="I2615" s="260" t="s">
        <v>6593</v>
      </c>
      <c r="J2615" s="260"/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45" t="s">
        <v>6462</v>
      </c>
      <c r="AA2615" s="246">
        <v>41581</v>
      </c>
      <c r="AB2615" s="76" t="s">
        <v>6929</v>
      </c>
    </row>
    <row r="2616" spans="1:28">
      <c r="A2616" s="247" t="s">
        <v>73</v>
      </c>
      <c r="B2616" s="83" t="str">
        <f t="shared" si="657"/>
        <v>YUTAI_TEKISE_GAKU</v>
      </c>
      <c r="C2616" s="257" t="s">
        <v>753</v>
      </c>
      <c r="D2616" s="82" t="str">
        <f t="shared" si="658"/>
        <v>Number</v>
      </c>
      <c r="E2616" s="82">
        <f t="shared" si="659"/>
        <v>11</v>
      </c>
      <c r="F2616" s="82" t="str">
        <f t="shared" si="660"/>
        <v/>
      </c>
      <c r="G2616" s="259" t="s">
        <v>6593</v>
      </c>
      <c r="H2616" s="260" t="s">
        <v>6594</v>
      </c>
      <c r="I2616" s="260" t="s">
        <v>6503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6462</v>
      </c>
      <c r="AA2616" s="246">
        <v>41581</v>
      </c>
      <c r="AB2616" s="76" t="s">
        <v>6929</v>
      </c>
    </row>
    <row r="2617" spans="1:28">
      <c r="A2617" s="247" t="s">
        <v>6435</v>
      </c>
      <c r="B2617" s="83" t="str">
        <f t="shared" si="657"/>
        <v>TIROKIN</v>
      </c>
      <c r="C2617" s="257" t="s">
        <v>753</v>
      </c>
      <c r="D2617" s="82" t="str">
        <f t="shared" si="658"/>
        <v>Number</v>
      </c>
      <c r="E2617" s="82">
        <f t="shared" si="659"/>
        <v>11</v>
      </c>
      <c r="F2617" s="82" t="str">
        <f t="shared" si="660"/>
        <v/>
      </c>
      <c r="G2617" s="259" t="s">
        <v>6661</v>
      </c>
      <c r="H2617" s="260" t="s">
        <v>6579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6462</v>
      </c>
      <c r="AA2617" s="246">
        <v>41581</v>
      </c>
      <c r="AB2617" s="76" t="s">
        <v>6929</v>
      </c>
    </row>
    <row r="2618" spans="1:28">
      <c r="A2618" s="247" t="s">
        <v>6580</v>
      </c>
      <c r="B2618" s="83" t="str">
        <f t="shared" si="657"/>
        <v>KINZOKUNENSU</v>
      </c>
      <c r="C2618" s="257" t="s">
        <v>1832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6597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6462</v>
      </c>
      <c r="AA2618" s="246">
        <v>41581</v>
      </c>
      <c r="AB2618" s="76" t="s">
        <v>6929</v>
      </c>
    </row>
    <row r="2619" spans="1:28">
      <c r="A2619" s="247" t="s">
        <v>6433</v>
      </c>
      <c r="B2619" s="83" t="str">
        <f t="shared" si="657"/>
        <v>TAISHOKU_SYOKOJO</v>
      </c>
      <c r="C2619" s="257" t="s">
        <v>753</v>
      </c>
      <c r="D2619" s="82" t="str">
        <f t="shared" si="658"/>
        <v>Number</v>
      </c>
      <c r="E2619" s="82">
        <f t="shared" si="659"/>
        <v>11</v>
      </c>
      <c r="F2619" s="82" t="str">
        <f t="shared" si="660"/>
        <v/>
      </c>
      <c r="G2619" s="259" t="s">
        <v>6581</v>
      </c>
      <c r="H2619" s="260" t="s">
        <v>6893</v>
      </c>
      <c r="I2619" s="260"/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45" t="s">
        <v>6462</v>
      </c>
      <c r="AA2619" s="246">
        <v>41581</v>
      </c>
      <c r="AB2619" s="76" t="s">
        <v>6929</v>
      </c>
    </row>
    <row r="2620" spans="1:28">
      <c r="A2620" s="247" t="s">
        <v>7041</v>
      </c>
      <c r="B2620" s="83" t="str">
        <f t="shared" si="657"/>
        <v>HALF_JISSHI_UMU_CD</v>
      </c>
      <c r="C2620" s="257" t="s">
        <v>7020</v>
      </c>
      <c r="D2620" s="82" t="str">
        <f t="shared" si="658"/>
        <v>Char</v>
      </c>
      <c r="E2620" s="82">
        <f t="shared" si="659"/>
        <v>1</v>
      </c>
      <c r="F2620" s="82" t="str">
        <f t="shared" si="660"/>
        <v/>
      </c>
      <c r="G2620" s="259" t="s">
        <v>6582</v>
      </c>
      <c r="H2620" s="260" t="s">
        <v>6583</v>
      </c>
      <c r="I2620" s="260" t="s">
        <v>341</v>
      </c>
      <c r="J2620" s="260" t="s">
        <v>7029</v>
      </c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>_</v>
      </c>
      <c r="S2620" s="81" t="str">
        <f t="shared" si="650"/>
        <v>CD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18</v>
      </c>
      <c r="Y2620" s="76" t="e">
        <f>VLOOKUP(A2620,#REF!,1,FALSE)</f>
        <v>#REF!</v>
      </c>
      <c r="Z2620" s="245" t="s">
        <v>6462</v>
      </c>
      <c r="AA2620" s="246">
        <v>41581</v>
      </c>
      <c r="AB2620" s="76" t="s">
        <v>6929</v>
      </c>
    </row>
    <row r="2621" spans="1:28">
      <c r="A2621" s="247" t="s">
        <v>6585</v>
      </c>
      <c r="B2621" s="83" t="str">
        <f t="shared" si="657"/>
        <v>TIROKIN_KAZEI_SHOTOKU</v>
      </c>
      <c r="C2621" s="257" t="s">
        <v>753</v>
      </c>
      <c r="D2621" s="82" t="str">
        <f t="shared" si="658"/>
        <v>Number</v>
      </c>
      <c r="E2621" s="82">
        <f t="shared" si="659"/>
        <v>11</v>
      </c>
      <c r="F2621" s="82" t="str">
        <f t="shared" si="660"/>
        <v/>
      </c>
      <c r="G2621" s="259" t="s">
        <v>6662</v>
      </c>
      <c r="H2621" s="260" t="s">
        <v>6584</v>
      </c>
      <c r="I2621" s="260" t="s">
        <v>6592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6462</v>
      </c>
      <c r="AA2621" s="246">
        <v>41581</v>
      </c>
      <c r="AB2621" s="76" t="s">
        <v>6929</v>
      </c>
    </row>
    <row r="2622" spans="1:28">
      <c r="A2622" s="247" t="s">
        <v>76</v>
      </c>
      <c r="B2622" s="83" t="str">
        <f t="shared" si="657"/>
        <v>ZEI_RT</v>
      </c>
      <c r="C2622" s="257" t="s">
        <v>2465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76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6462</v>
      </c>
      <c r="AA2622" s="246">
        <v>41581</v>
      </c>
      <c r="AB2622" s="76" t="s">
        <v>6929</v>
      </c>
    </row>
    <row r="2623" spans="1:28">
      <c r="A2623" s="247" t="s">
        <v>77</v>
      </c>
      <c r="B2623" s="83" t="str">
        <f t="shared" si="657"/>
        <v>KOJO_GAKU</v>
      </c>
      <c r="C2623" s="257" t="s">
        <v>753</v>
      </c>
      <c r="D2623" s="82" t="str">
        <f t="shared" si="658"/>
        <v>Number</v>
      </c>
      <c r="E2623" s="82">
        <f t="shared" si="659"/>
        <v>11</v>
      </c>
      <c r="F2623" s="82" t="str">
        <f t="shared" si="660"/>
        <v/>
      </c>
      <c r="G2623" s="259" t="s">
        <v>6600</v>
      </c>
      <c r="H2623" s="260" t="s">
        <v>2213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6462</v>
      </c>
      <c r="AA2623" s="246">
        <v>41581</v>
      </c>
      <c r="AB2623" s="76" t="s">
        <v>6929</v>
      </c>
    </row>
    <row r="2624" spans="1:28">
      <c r="A2624" s="247" t="s">
        <v>6589</v>
      </c>
      <c r="B2624" s="83" t="str">
        <f t="shared" si="657"/>
        <v>TIROKIN_SYOJUZEI</v>
      </c>
      <c r="C2624" s="257" t="s">
        <v>753</v>
      </c>
      <c r="D2624" s="82" t="str">
        <f t="shared" si="658"/>
        <v>Number</v>
      </c>
      <c r="E2624" s="82">
        <f t="shared" si="659"/>
        <v>11</v>
      </c>
      <c r="F2624" s="82" t="str">
        <f t="shared" si="660"/>
        <v/>
      </c>
      <c r="G2624" s="259" t="s">
        <v>6657</v>
      </c>
      <c r="H2624" s="260" t="s">
        <v>6591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6462</v>
      </c>
      <c r="AA2624" s="246">
        <v>41581</v>
      </c>
      <c r="AB2624" s="76" t="s">
        <v>6929</v>
      </c>
    </row>
    <row r="2625" spans="1:28">
      <c r="A2625" s="247" t="s">
        <v>78</v>
      </c>
      <c r="B2625" s="83" t="str">
        <f t="shared" si="657"/>
        <v>TIROKIN_TEDORIGAKU</v>
      </c>
      <c r="C2625" s="257" t="s">
        <v>753</v>
      </c>
      <c r="D2625" s="82" t="str">
        <f t="shared" si="658"/>
        <v>Number</v>
      </c>
      <c r="E2625" s="82">
        <f t="shared" si="659"/>
        <v>11</v>
      </c>
      <c r="F2625" s="82" t="str">
        <f t="shared" si="660"/>
        <v/>
      </c>
      <c r="G2625" s="259" t="s">
        <v>6657</v>
      </c>
      <c r="H2625" s="260" t="s">
        <v>109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6462</v>
      </c>
      <c r="AA2625" s="246">
        <v>41581</v>
      </c>
      <c r="AB2625" s="76" t="s">
        <v>6929</v>
      </c>
    </row>
    <row r="2626" spans="1:28">
      <c r="A2626" s="247" t="s">
        <v>6436</v>
      </c>
      <c r="B2626" s="83" t="str">
        <f t="shared" si="657"/>
        <v>KYUYO_SYOKOJO</v>
      </c>
      <c r="C2626" s="257" t="s">
        <v>753</v>
      </c>
      <c r="D2626" s="82" t="str">
        <f t="shared" si="658"/>
        <v>Number</v>
      </c>
      <c r="E2626" s="82">
        <f t="shared" si="659"/>
        <v>11</v>
      </c>
      <c r="F2626" s="82" t="str">
        <f t="shared" si="660"/>
        <v/>
      </c>
      <c r="G2626" s="259" t="s">
        <v>6590</v>
      </c>
      <c r="H2626" s="260" t="s">
        <v>6893</v>
      </c>
      <c r="I2626" s="260"/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45" t="s">
        <v>6462</v>
      </c>
      <c r="AA2626" s="246">
        <v>41581</v>
      </c>
      <c r="AB2626" s="76" t="s">
        <v>6929</v>
      </c>
    </row>
    <row r="2627" spans="1:28">
      <c r="A2627" s="247" t="s">
        <v>6586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7" t="s">
        <v>753</v>
      </c>
      <c r="D2627" s="82" t="str">
        <f t="shared" si="658"/>
        <v>Number</v>
      </c>
      <c r="E2627" s="82">
        <f t="shared" si="659"/>
        <v>11</v>
      </c>
      <c r="F2627" s="82" t="str">
        <f t="shared" si="660"/>
        <v/>
      </c>
      <c r="G2627" s="259" t="s">
        <v>6898</v>
      </c>
      <c r="H2627" s="260"/>
      <c r="I2627" s="260" t="s">
        <v>6873</v>
      </c>
      <c r="J2627" s="260"/>
      <c r="K2627" s="260"/>
      <c r="L2627" s="262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45" t="s">
        <v>6462</v>
      </c>
      <c r="AA2627" s="246">
        <v>41581</v>
      </c>
      <c r="AB2627" s="76" t="s">
        <v>6929</v>
      </c>
    </row>
    <row r="2628" spans="1:28">
      <c r="A2628" s="247" t="s">
        <v>6587</v>
      </c>
      <c r="B2628" s="83" t="str">
        <f t="shared" si="673"/>
        <v>YKHOSHU_SYOJUZEI</v>
      </c>
      <c r="C2628" s="257" t="s">
        <v>753</v>
      </c>
      <c r="D2628" s="82" t="str">
        <f t="shared" si="658"/>
        <v>Number</v>
      </c>
      <c r="E2628" s="82">
        <f t="shared" si="659"/>
        <v>11</v>
      </c>
      <c r="F2628" s="82" t="str">
        <f t="shared" si="660"/>
        <v/>
      </c>
      <c r="G2628" s="259" t="s">
        <v>6898</v>
      </c>
      <c r="H2628" s="260"/>
      <c r="I2628" s="260" t="s">
        <v>6591</v>
      </c>
      <c r="J2628" s="260"/>
      <c r="K2628" s="260"/>
      <c r="L2628" s="262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45" t="s">
        <v>6462</v>
      </c>
      <c r="AA2628" s="246">
        <v>41581</v>
      </c>
      <c r="AB2628" s="76" t="s">
        <v>6929</v>
      </c>
    </row>
    <row r="2629" spans="1:28">
      <c r="A2629" s="247" t="s">
        <v>79</v>
      </c>
      <c r="B2629" s="83" t="str">
        <f t="shared" si="673"/>
        <v>YKHOSHU_TEDORIGAKU</v>
      </c>
      <c r="C2629" s="257" t="s">
        <v>753</v>
      </c>
      <c r="D2629" s="82" t="str">
        <f t="shared" si="658"/>
        <v>Number</v>
      </c>
      <c r="E2629" s="82">
        <f t="shared" si="659"/>
        <v>11</v>
      </c>
      <c r="F2629" s="82" t="str">
        <f t="shared" si="660"/>
        <v/>
      </c>
      <c r="G2629" s="259" t="s">
        <v>6898</v>
      </c>
      <c r="H2629" s="260"/>
      <c r="I2629" s="260" t="s">
        <v>6602</v>
      </c>
      <c r="J2629" s="260"/>
      <c r="K2629" s="260"/>
      <c r="L2629" s="262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45" t="s">
        <v>6462</v>
      </c>
      <c r="AA2629" s="246">
        <v>41581</v>
      </c>
      <c r="AB2629" s="76" t="s">
        <v>6929</v>
      </c>
    </row>
    <row r="2630" spans="1:28">
      <c r="A2630" s="247" t="s">
        <v>80</v>
      </c>
      <c r="B2630" s="83" t="str">
        <f t="shared" si="673"/>
        <v>TEDORIGAKU_SAGAKU</v>
      </c>
      <c r="C2630" s="257" t="s">
        <v>753</v>
      </c>
      <c r="D2630" s="82" t="str">
        <f t="shared" si="658"/>
        <v>Number</v>
      </c>
      <c r="E2630" s="82">
        <f t="shared" si="659"/>
        <v>11</v>
      </c>
      <c r="F2630" s="82" t="str">
        <f t="shared" si="660"/>
        <v/>
      </c>
      <c r="G2630" s="259" t="s">
        <v>6603</v>
      </c>
      <c r="H2630" s="260" t="s">
        <v>3646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6462</v>
      </c>
      <c r="AA2630" s="246">
        <v>41581</v>
      </c>
      <c r="AB2630" s="76" t="s">
        <v>6929</v>
      </c>
    </row>
    <row r="2631" spans="1:28">
      <c r="A2631" s="247" t="s">
        <v>6442</v>
      </c>
      <c r="B2631" s="83" t="str">
        <f t="shared" si="673"/>
        <v>SAGE_KINGAKU</v>
      </c>
      <c r="C2631" s="257" t="s">
        <v>753</v>
      </c>
      <c r="D2631" s="82" t="str">
        <f t="shared" si="658"/>
        <v>Number</v>
      </c>
      <c r="E2631" s="82">
        <f t="shared" si="659"/>
        <v>11</v>
      </c>
      <c r="F2631" s="82" t="str">
        <f t="shared" si="660"/>
        <v/>
      </c>
      <c r="G2631" s="259" t="s">
        <v>6605</v>
      </c>
      <c r="H2631" s="260" t="s">
        <v>414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6462</v>
      </c>
      <c r="AA2631" s="246">
        <v>41581</v>
      </c>
      <c r="AB2631" s="76" t="s">
        <v>6929</v>
      </c>
    </row>
    <row r="2632" spans="1:28">
      <c r="A2632" s="247" t="s">
        <v>6443</v>
      </c>
      <c r="B2632" s="83" t="str">
        <f t="shared" si="673"/>
        <v>YAKUIN_TAISHOKU_HJGAKU</v>
      </c>
      <c r="C2632" s="257" t="s">
        <v>753</v>
      </c>
      <c r="D2632" s="82" t="str">
        <f t="shared" si="658"/>
        <v>Number</v>
      </c>
      <c r="E2632" s="82">
        <f t="shared" si="659"/>
        <v>11</v>
      </c>
      <c r="F2632" s="82" t="str">
        <f t="shared" si="660"/>
        <v/>
      </c>
      <c r="G2632" s="259" t="s">
        <v>278</v>
      </c>
      <c r="H2632" s="260" t="s">
        <v>431</v>
      </c>
      <c r="I2632" s="260" t="s">
        <v>6502</v>
      </c>
      <c r="J2632" s="260" t="s">
        <v>6971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45" t="s">
        <v>6462</v>
      </c>
      <c r="AA2632" s="246">
        <v>41581</v>
      </c>
      <c r="AB2632" s="76" t="s">
        <v>6929</v>
      </c>
    </row>
    <row r="2633" spans="1:28">
      <c r="A2633" s="247" t="s">
        <v>82</v>
      </c>
      <c r="B2633" s="83" t="str">
        <f t="shared" si="673"/>
        <v>YUTAI_KIKAN</v>
      </c>
      <c r="C2633" s="257" t="s">
        <v>1832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2280</v>
      </c>
      <c r="H2633" s="260" t="s">
        <v>864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6462</v>
      </c>
      <c r="AA2633" s="246">
        <v>41581</v>
      </c>
      <c r="AB2633" s="76" t="s">
        <v>6929</v>
      </c>
    </row>
    <row r="2634" spans="1:28">
      <c r="A2634" s="247" t="s">
        <v>6839</v>
      </c>
      <c r="B2634" s="83" t="str">
        <f t="shared" si="673"/>
        <v>SAGEGO_YKHSGTGAKU</v>
      </c>
      <c r="C2634" s="257" t="s">
        <v>753</v>
      </c>
      <c r="D2634" s="82" t="str">
        <f t="shared" si="658"/>
        <v>Number</v>
      </c>
      <c r="E2634" s="82">
        <f t="shared" si="659"/>
        <v>11</v>
      </c>
      <c r="F2634" s="82" t="str">
        <f t="shared" si="660"/>
        <v/>
      </c>
      <c r="G2634" s="259" t="s">
        <v>6606</v>
      </c>
      <c r="H2634" s="260" t="s">
        <v>6974</v>
      </c>
      <c r="I2634" s="260"/>
      <c r="J2634" s="260"/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45" t="s">
        <v>6462</v>
      </c>
      <c r="AA2634" s="246">
        <v>41581</v>
      </c>
      <c r="AB2634" s="76" t="s">
        <v>6929</v>
      </c>
    </row>
    <row r="2635" spans="1:28">
      <c r="A2635" s="247" t="s">
        <v>6444</v>
      </c>
      <c r="B2635" s="83" t="str">
        <f t="shared" si="673"/>
        <v>KOJIN_SHUNYU_ZOGEN</v>
      </c>
      <c r="C2635" s="257" t="s">
        <v>753</v>
      </c>
      <c r="D2635" s="82" t="str">
        <f t="shared" si="658"/>
        <v>Number</v>
      </c>
      <c r="E2635" s="82">
        <f t="shared" si="659"/>
        <v>11</v>
      </c>
      <c r="F2635" s="82" t="str">
        <f t="shared" si="660"/>
        <v/>
      </c>
      <c r="G2635" s="259" t="s">
        <v>1085</v>
      </c>
      <c r="H2635" s="260" t="s">
        <v>2681</v>
      </c>
      <c r="I2635" s="260" t="s">
        <v>6607</v>
      </c>
      <c r="J2635" s="260"/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45" t="s">
        <v>6462</v>
      </c>
      <c r="AA2635" s="246">
        <v>41581</v>
      </c>
      <c r="AB2635" s="76" t="s">
        <v>6929</v>
      </c>
    </row>
    <row r="2636" spans="1:28">
      <c r="A2636" s="247" t="s">
        <v>6824</v>
      </c>
      <c r="B2636" s="83" t="str">
        <f t="shared" si="673"/>
        <v>KJSGMAE_SOJUKYU</v>
      </c>
      <c r="C2636" s="257" t="s">
        <v>753</v>
      </c>
      <c r="D2636" s="82" t="str">
        <f t="shared" si="658"/>
        <v>Number</v>
      </c>
      <c r="E2636" s="82">
        <f t="shared" si="659"/>
        <v>11</v>
      </c>
      <c r="F2636" s="82" t="str">
        <f t="shared" si="660"/>
        <v/>
      </c>
      <c r="G2636" s="259" t="s">
        <v>6849</v>
      </c>
      <c r="H2636" s="260"/>
      <c r="I2636" s="260" t="s">
        <v>6620</v>
      </c>
      <c r="J2636" s="260"/>
      <c r="K2636" s="260"/>
      <c r="L2636" s="262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45" t="s">
        <v>6462</v>
      </c>
      <c r="AA2636" s="246">
        <v>41581</v>
      </c>
      <c r="AB2636" s="76" t="s">
        <v>6929</v>
      </c>
    </row>
    <row r="2637" spans="1:28">
      <c r="A2637" s="247" t="s">
        <v>6825</v>
      </c>
      <c r="B2637" s="83" t="str">
        <f t="shared" si="673"/>
        <v>KJSGMAE_ROREI_NENKIN</v>
      </c>
      <c r="C2637" s="257" t="s">
        <v>753</v>
      </c>
      <c r="D2637" s="82" t="str">
        <f t="shared" si="658"/>
        <v>Number</v>
      </c>
      <c r="E2637" s="82">
        <f t="shared" si="659"/>
        <v>11</v>
      </c>
      <c r="F2637" s="82" t="str">
        <f t="shared" si="660"/>
        <v/>
      </c>
      <c r="G2637" s="259" t="s">
        <v>6849</v>
      </c>
      <c r="H2637" s="260"/>
      <c r="I2637" s="260" t="s">
        <v>2628</v>
      </c>
      <c r="J2637" s="260" t="s">
        <v>1914</v>
      </c>
      <c r="K2637" s="260"/>
      <c r="L2637" s="262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45" t="s">
        <v>6462</v>
      </c>
      <c r="AA2637" s="246">
        <v>41581</v>
      </c>
      <c r="AB2637" s="76" t="s">
        <v>6929</v>
      </c>
    </row>
    <row r="2638" spans="1:28">
      <c r="A2638" s="247" t="s">
        <v>6826</v>
      </c>
      <c r="B2638" s="83" t="str">
        <f t="shared" si="673"/>
        <v>KJSGMAE_SYAKAI_P</v>
      </c>
      <c r="C2638" s="257" t="s">
        <v>753</v>
      </c>
      <c r="D2638" s="82" t="str">
        <f t="shared" si="658"/>
        <v>Number</v>
      </c>
      <c r="E2638" s="82">
        <f t="shared" si="659"/>
        <v>11</v>
      </c>
      <c r="F2638" s="82" t="str">
        <f t="shared" si="660"/>
        <v/>
      </c>
      <c r="G2638" s="259" t="s">
        <v>6849</v>
      </c>
      <c r="H2638" s="260"/>
      <c r="I2638" s="260" t="s">
        <v>6639</v>
      </c>
      <c r="J2638" s="260" t="s">
        <v>391</v>
      </c>
      <c r="K2638" s="260"/>
      <c r="L2638" s="262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45" t="s">
        <v>6462</v>
      </c>
      <c r="AA2638" s="246">
        <v>41581</v>
      </c>
      <c r="AB2638" s="76" t="s">
        <v>6929</v>
      </c>
    </row>
    <row r="2639" spans="1:28">
      <c r="A2639" s="247" t="s">
        <v>6827</v>
      </c>
      <c r="B2639" s="83" t="str">
        <f t="shared" si="673"/>
        <v>KJSGMAE_SYOJUZEI</v>
      </c>
      <c r="C2639" s="257" t="s">
        <v>753</v>
      </c>
      <c r="D2639" s="82" t="str">
        <f t="shared" si="658"/>
        <v>Number</v>
      </c>
      <c r="E2639" s="82">
        <f t="shared" si="659"/>
        <v>11</v>
      </c>
      <c r="F2639" s="82" t="str">
        <f t="shared" si="660"/>
        <v/>
      </c>
      <c r="G2639" s="259" t="s">
        <v>6849</v>
      </c>
      <c r="H2639" s="260"/>
      <c r="I2639" s="260" t="s">
        <v>6591</v>
      </c>
      <c r="J2639" s="260"/>
      <c r="K2639" s="260"/>
      <c r="L2639" s="262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45" t="s">
        <v>6462</v>
      </c>
      <c r="AA2639" s="246">
        <v>41581</v>
      </c>
      <c r="AB2639" s="76" t="s">
        <v>6929</v>
      </c>
    </row>
    <row r="2640" spans="1:28">
      <c r="A2640" s="247" t="s">
        <v>6828</v>
      </c>
      <c r="B2640" s="83" t="str">
        <f t="shared" si="673"/>
        <v>KJSGMAE_SHUNYU_SOGAKU</v>
      </c>
      <c r="C2640" s="257" t="s">
        <v>753</v>
      </c>
      <c r="D2640" s="82" t="str">
        <f t="shared" si="658"/>
        <v>Number</v>
      </c>
      <c r="E2640" s="82">
        <f t="shared" si="659"/>
        <v>11</v>
      </c>
      <c r="F2640" s="82" t="str">
        <f t="shared" si="660"/>
        <v/>
      </c>
      <c r="G2640" s="259" t="s">
        <v>6849</v>
      </c>
      <c r="H2640" s="260"/>
      <c r="I2640" s="260" t="s">
        <v>2681</v>
      </c>
      <c r="J2640" s="260" t="s">
        <v>4345</v>
      </c>
      <c r="K2640" s="260"/>
      <c r="L2640" s="262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45" t="s">
        <v>6462</v>
      </c>
      <c r="AA2640" s="246">
        <v>41581</v>
      </c>
      <c r="AB2640" s="76" t="s">
        <v>6929</v>
      </c>
    </row>
    <row r="2641" spans="1:28">
      <c r="A2641" s="247" t="s">
        <v>6829</v>
      </c>
      <c r="B2641" s="83" t="str">
        <f t="shared" si="673"/>
        <v>KJSGGO_SOJUKYU_GAKU</v>
      </c>
      <c r="C2641" s="257" t="s">
        <v>753</v>
      </c>
      <c r="D2641" s="82" t="str">
        <f t="shared" si="658"/>
        <v>Number</v>
      </c>
      <c r="E2641" s="82">
        <f t="shared" si="659"/>
        <v>11</v>
      </c>
      <c r="F2641" s="82" t="str">
        <f t="shared" si="660"/>
        <v/>
      </c>
      <c r="G2641" s="259" t="s">
        <v>6850</v>
      </c>
      <c r="H2641" s="260"/>
      <c r="I2641" s="260" t="s">
        <v>6620</v>
      </c>
      <c r="J2641" s="260" t="s">
        <v>2213</v>
      </c>
      <c r="K2641" s="260"/>
      <c r="L2641" s="262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45" t="s">
        <v>6462</v>
      </c>
      <c r="AA2641" s="246">
        <v>41581</v>
      </c>
      <c r="AB2641" s="76" t="s">
        <v>6929</v>
      </c>
    </row>
    <row r="2642" spans="1:28">
      <c r="A2642" s="247" t="s">
        <v>6830</v>
      </c>
      <c r="B2642" s="83" t="str">
        <f t="shared" si="673"/>
        <v>KJSGGO_ROREI_NENKIN</v>
      </c>
      <c r="C2642" s="257" t="s">
        <v>753</v>
      </c>
      <c r="D2642" s="82" t="str">
        <f t="shared" si="658"/>
        <v>Number</v>
      </c>
      <c r="E2642" s="82">
        <f t="shared" si="659"/>
        <v>11</v>
      </c>
      <c r="F2642" s="82" t="str">
        <f t="shared" si="660"/>
        <v/>
      </c>
      <c r="G2642" s="259" t="s">
        <v>6850</v>
      </c>
      <c r="H2642" s="260"/>
      <c r="I2642" s="260" t="s">
        <v>2628</v>
      </c>
      <c r="J2642" s="260" t="s">
        <v>1914</v>
      </c>
      <c r="K2642" s="260"/>
      <c r="L2642" s="262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45" t="s">
        <v>6462</v>
      </c>
      <c r="AA2642" s="246">
        <v>41581</v>
      </c>
      <c r="AB2642" s="76" t="s">
        <v>6929</v>
      </c>
    </row>
    <row r="2643" spans="1:28">
      <c r="A2643" s="247" t="s">
        <v>6831</v>
      </c>
      <c r="B2643" s="83" t="str">
        <f t="shared" si="673"/>
        <v>KJSGGO_SYAKAI_P</v>
      </c>
      <c r="C2643" s="257" t="s">
        <v>753</v>
      </c>
      <c r="D2643" s="82" t="str">
        <f t="shared" si="658"/>
        <v>Number</v>
      </c>
      <c r="E2643" s="82">
        <f t="shared" si="659"/>
        <v>11</v>
      </c>
      <c r="F2643" s="82" t="str">
        <f t="shared" si="660"/>
        <v/>
      </c>
      <c r="G2643" s="259" t="s">
        <v>6850</v>
      </c>
      <c r="H2643" s="260"/>
      <c r="I2643" s="260" t="s">
        <v>6642</v>
      </c>
      <c r="J2643" s="260" t="s">
        <v>391</v>
      </c>
      <c r="K2643" s="260"/>
      <c r="L2643" s="262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45" t="s">
        <v>6462</v>
      </c>
      <c r="AA2643" s="246">
        <v>41581</v>
      </c>
      <c r="AB2643" s="76" t="s">
        <v>6929</v>
      </c>
    </row>
    <row r="2644" spans="1:28">
      <c r="A2644" s="247" t="s">
        <v>6832</v>
      </c>
      <c r="B2644" s="83" t="str">
        <f t="shared" si="673"/>
        <v>KJSGGO_SYOJUZEI</v>
      </c>
      <c r="C2644" s="257" t="s">
        <v>753</v>
      </c>
      <c r="D2644" s="82" t="str">
        <f t="shared" si="658"/>
        <v>Number</v>
      </c>
      <c r="E2644" s="82">
        <f t="shared" si="659"/>
        <v>11</v>
      </c>
      <c r="F2644" s="82" t="str">
        <f t="shared" si="660"/>
        <v/>
      </c>
      <c r="G2644" s="259" t="s">
        <v>6850</v>
      </c>
      <c r="H2644" s="260"/>
      <c r="I2644" s="260" t="s">
        <v>6591</v>
      </c>
      <c r="J2644" s="260"/>
      <c r="K2644" s="260"/>
      <c r="L2644" s="262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45" t="s">
        <v>6462</v>
      </c>
      <c r="AA2644" s="246">
        <v>41581</v>
      </c>
      <c r="AB2644" s="76" t="s">
        <v>6929</v>
      </c>
    </row>
    <row r="2645" spans="1:28">
      <c r="A2645" s="247" t="s">
        <v>6833</v>
      </c>
      <c r="B2645" s="83" t="str">
        <f t="shared" si="673"/>
        <v>KJSGGO_SHUNYU_SOGAKU</v>
      </c>
      <c r="C2645" s="257" t="s">
        <v>753</v>
      </c>
      <c r="D2645" s="82" t="str">
        <f t="shared" si="658"/>
        <v>Number</v>
      </c>
      <c r="E2645" s="82">
        <f t="shared" si="659"/>
        <v>11</v>
      </c>
      <c r="F2645" s="82" t="str">
        <f t="shared" si="660"/>
        <v/>
      </c>
      <c r="G2645" s="259" t="s">
        <v>6850</v>
      </c>
      <c r="H2645" s="260"/>
      <c r="I2645" s="260" t="s">
        <v>2681</v>
      </c>
      <c r="J2645" s="260" t="s">
        <v>4345</v>
      </c>
      <c r="K2645" s="260"/>
      <c r="L2645" s="262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45" t="s">
        <v>6462</v>
      </c>
      <c r="AA2645" s="246">
        <v>41581</v>
      </c>
      <c r="AB2645" s="76" t="s">
        <v>6929</v>
      </c>
    </row>
    <row r="2646" spans="1:28">
      <c r="A2646" s="247" t="s">
        <v>6445</v>
      </c>
      <c r="B2646" s="83" t="str">
        <f t="shared" si="673"/>
        <v>CORP_SOFUTANG_ZOGEN</v>
      </c>
      <c r="C2646" s="257" t="s">
        <v>753</v>
      </c>
      <c r="D2646" s="82" t="str">
        <f t="shared" si="658"/>
        <v>Number</v>
      </c>
      <c r="E2646" s="82">
        <f t="shared" si="659"/>
        <v>11</v>
      </c>
      <c r="F2646" s="82" t="str">
        <f t="shared" si="660"/>
        <v/>
      </c>
      <c r="G2646" s="259" t="s">
        <v>195</v>
      </c>
      <c r="H2646" s="260" t="s">
        <v>6610</v>
      </c>
      <c r="I2646" s="260" t="s">
        <v>6607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6462</v>
      </c>
      <c r="AA2646" s="246">
        <v>41581</v>
      </c>
      <c r="AB2646" s="76" t="s">
        <v>6929</v>
      </c>
    </row>
    <row r="2647" spans="1:28">
      <c r="A2647" s="247" t="s">
        <v>6834</v>
      </c>
      <c r="B2647" s="83" t="str">
        <f t="shared" si="673"/>
        <v>HJSGMAE_SOFUTANG</v>
      </c>
      <c r="C2647" s="257" t="s">
        <v>753</v>
      </c>
      <c r="D2647" s="82" t="str">
        <f t="shared" si="658"/>
        <v>Number</v>
      </c>
      <c r="E2647" s="82">
        <f t="shared" si="659"/>
        <v>11</v>
      </c>
      <c r="F2647" s="82" t="str">
        <f t="shared" si="660"/>
        <v/>
      </c>
      <c r="G2647" s="259" t="s">
        <v>6851</v>
      </c>
      <c r="H2647" s="260"/>
      <c r="I2647" s="260" t="s">
        <v>6610</v>
      </c>
      <c r="J2647" s="260"/>
      <c r="K2647" s="260"/>
      <c r="L2647" s="262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45" t="s">
        <v>6462</v>
      </c>
      <c r="AA2647" s="246">
        <v>41581</v>
      </c>
      <c r="AB2647" s="76" t="s">
        <v>6929</v>
      </c>
    </row>
    <row r="2648" spans="1:28">
      <c r="A2648" s="247" t="s">
        <v>6835</v>
      </c>
      <c r="B2648" s="83" t="str">
        <f t="shared" si="673"/>
        <v>HJSGMAE_SYAKAI_P</v>
      </c>
      <c r="C2648" s="257" t="s">
        <v>753</v>
      </c>
      <c r="D2648" s="82" t="str">
        <f t="shared" si="658"/>
        <v>Number</v>
      </c>
      <c r="E2648" s="82">
        <f t="shared" si="659"/>
        <v>11</v>
      </c>
      <c r="F2648" s="82" t="str">
        <f t="shared" si="660"/>
        <v/>
      </c>
      <c r="G2648" s="259" t="s">
        <v>6851</v>
      </c>
      <c r="H2648" s="260"/>
      <c r="I2648" s="260" t="s">
        <v>6642</v>
      </c>
      <c r="J2648" s="260" t="s">
        <v>391</v>
      </c>
      <c r="K2648" s="260"/>
      <c r="L2648" s="262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45" t="s">
        <v>6462</v>
      </c>
      <c r="AA2648" s="246">
        <v>41581</v>
      </c>
      <c r="AB2648" s="76" t="s">
        <v>6929</v>
      </c>
    </row>
    <row r="2649" spans="1:28">
      <c r="A2649" s="247" t="s">
        <v>6836</v>
      </c>
      <c r="B2649" s="83" t="str">
        <f t="shared" si="673"/>
        <v>HJSGGO_SOFUTANG</v>
      </c>
      <c r="C2649" s="257" t="s">
        <v>753</v>
      </c>
      <c r="D2649" s="82" t="str">
        <f t="shared" si="658"/>
        <v>Number</v>
      </c>
      <c r="E2649" s="82">
        <f t="shared" si="659"/>
        <v>11</v>
      </c>
      <c r="F2649" s="82" t="str">
        <f t="shared" si="660"/>
        <v/>
      </c>
      <c r="G2649" s="259" t="s">
        <v>6852</v>
      </c>
      <c r="H2649" s="260"/>
      <c r="I2649" s="260" t="s">
        <v>6610</v>
      </c>
      <c r="J2649" s="260"/>
      <c r="K2649" s="260"/>
      <c r="L2649" s="262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45" t="s">
        <v>6462</v>
      </c>
      <c r="AA2649" s="246">
        <v>41581</v>
      </c>
      <c r="AB2649" s="76" t="s">
        <v>6929</v>
      </c>
    </row>
    <row r="2650" spans="1:28">
      <c r="A2650" s="247" t="s">
        <v>6837</v>
      </c>
      <c r="B2650" s="83" t="str">
        <f t="shared" si="673"/>
        <v>HJSGGO_SYAKAI_P</v>
      </c>
      <c r="C2650" s="257" t="s">
        <v>753</v>
      </c>
      <c r="D2650" s="82" t="str">
        <f t="shared" si="658"/>
        <v>Number</v>
      </c>
      <c r="E2650" s="82">
        <f t="shared" si="659"/>
        <v>11</v>
      </c>
      <c r="F2650" s="82" t="str">
        <f t="shared" si="660"/>
        <v/>
      </c>
      <c r="G2650" s="259" t="s">
        <v>6852</v>
      </c>
      <c r="H2650" s="260"/>
      <c r="I2650" s="260" t="s">
        <v>6642</v>
      </c>
      <c r="J2650" s="260" t="s">
        <v>391</v>
      </c>
      <c r="K2650" s="260"/>
      <c r="L2650" s="262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45" t="s">
        <v>6462</v>
      </c>
      <c r="AA2650" s="246">
        <v>41581</v>
      </c>
      <c r="AB2650" s="76" t="s">
        <v>6929</v>
      </c>
    </row>
    <row r="2651" spans="1:28">
      <c r="A2651" s="247" t="s">
        <v>6838</v>
      </c>
      <c r="B2651" s="83" t="str">
        <f t="shared" si="673"/>
        <v>HJSGGO_HOJZEI_FUTAZO</v>
      </c>
      <c r="C2651" s="257" t="s">
        <v>753</v>
      </c>
      <c r="D2651" s="82" t="str">
        <f t="shared" si="658"/>
        <v>Number</v>
      </c>
      <c r="E2651" s="82">
        <f t="shared" si="659"/>
        <v>11</v>
      </c>
      <c r="F2651" s="82" t="str">
        <f t="shared" si="660"/>
        <v/>
      </c>
      <c r="G2651" s="259" t="s">
        <v>6852</v>
      </c>
      <c r="H2651" s="260"/>
      <c r="I2651" s="260" t="s">
        <v>6624</v>
      </c>
      <c r="J2651" s="260" t="s">
        <v>6629</v>
      </c>
      <c r="K2651" s="260"/>
      <c r="L2651" s="262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45" t="s">
        <v>6462</v>
      </c>
      <c r="AA2651" s="246">
        <v>41581</v>
      </c>
      <c r="AB2651" s="76" t="s">
        <v>6929</v>
      </c>
    </row>
    <row r="2652" spans="1:28">
      <c r="A2652" s="247" t="s">
        <v>6636</v>
      </c>
      <c r="B2652" s="83" t="str">
        <f t="shared" si="673"/>
        <v>SEDOGO_KFRK_KAIZGAKU</v>
      </c>
      <c r="C2652" s="257" t="s">
        <v>753</v>
      </c>
      <c r="D2652" s="82" t="str">
        <f t="shared" si="658"/>
        <v>Number</v>
      </c>
      <c r="E2652" s="82">
        <f t="shared" si="659"/>
        <v>11</v>
      </c>
      <c r="F2652" s="82" t="str">
        <f t="shared" si="660"/>
        <v/>
      </c>
      <c r="G2652" s="259" t="s">
        <v>6631</v>
      </c>
      <c r="H2652" s="260" t="s">
        <v>6859</v>
      </c>
      <c r="I2652" s="260" t="s">
        <v>6652</v>
      </c>
      <c r="J2652" s="260"/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45" t="s">
        <v>6462</v>
      </c>
      <c r="AA2652" s="246">
        <v>41581</v>
      </c>
      <c r="AB2652" s="76" t="s">
        <v>6929</v>
      </c>
    </row>
    <row r="2653" spans="1:28">
      <c r="A2653" s="247" t="s">
        <v>6684</v>
      </c>
      <c r="B2653" s="83" t="str">
        <f t="shared" si="673"/>
        <v>SKHK_HOSHO_CD</v>
      </c>
      <c r="C2653" s="257" t="s">
        <v>6688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6897</v>
      </c>
      <c r="H2653" s="260"/>
      <c r="I2653" s="260" t="s">
        <v>6686</v>
      </c>
      <c r="J2653" s="260" t="s">
        <v>6683</v>
      </c>
      <c r="K2653" s="260"/>
      <c r="L2653" s="262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45" t="s">
        <v>6462</v>
      </c>
      <c r="AA2653" s="246">
        <v>41581</v>
      </c>
      <c r="AB2653" s="76" t="s">
        <v>6929</v>
      </c>
    </row>
    <row r="2654" spans="1:28">
      <c r="A2654" s="247" t="s">
        <v>6685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7" t="s">
        <v>6689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6897</v>
      </c>
      <c r="H2654" s="260"/>
      <c r="I2654" s="260" t="s">
        <v>6687</v>
      </c>
      <c r="J2654" s="260" t="s">
        <v>6683</v>
      </c>
      <c r="K2654" s="260"/>
      <c r="L2654" s="262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45" t="s">
        <v>135</v>
      </c>
      <c r="AA2654" s="246">
        <v>41581</v>
      </c>
      <c r="AB2654" s="76" t="s">
        <v>6929</v>
      </c>
    </row>
    <row r="2655" spans="1:28">
      <c r="A2655" s="247" t="s">
        <v>6682</v>
      </c>
      <c r="B2655" s="83" t="str">
        <f t="shared" si="673"/>
        <v>SKHK_KATA_CD</v>
      </c>
      <c r="C2655" s="257" t="s">
        <v>6401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6897</v>
      </c>
      <c r="H2655" s="260" t="s">
        <v>96</v>
      </c>
      <c r="I2655" s="260" t="s">
        <v>6683</v>
      </c>
      <c r="J2655" s="260"/>
      <c r="K2655" s="260"/>
      <c r="L2655" s="262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45" t="s">
        <v>6462</v>
      </c>
      <c r="AA2655" s="246">
        <v>41581</v>
      </c>
      <c r="AB2655" s="76" t="s">
        <v>6929</v>
      </c>
    </row>
    <row r="2656" spans="1:28">
      <c r="A2656" s="247" t="s">
        <v>6446</v>
      </c>
      <c r="B2656" s="83" t="str">
        <f t="shared" si="673"/>
        <v>SKHK_KIKAN</v>
      </c>
      <c r="C2656" s="257" t="s">
        <v>1832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6897</v>
      </c>
      <c r="H2656" s="260"/>
      <c r="I2656" s="260" t="s">
        <v>864</v>
      </c>
      <c r="J2656" s="260"/>
      <c r="K2656" s="260"/>
      <c r="L2656" s="262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45" t="s">
        <v>6462</v>
      </c>
      <c r="AA2656" s="246">
        <v>41581</v>
      </c>
      <c r="AB2656" s="76" t="s">
        <v>6929</v>
      </c>
    </row>
    <row r="2657" spans="1:28">
      <c r="A2657" s="247" t="s">
        <v>6664</v>
      </c>
      <c r="B2657" s="83" t="str">
        <f t="shared" si="673"/>
        <v>SKHK_HOKEN_KKNNS_CD</v>
      </c>
      <c r="C2657" s="257" t="s">
        <v>7024</v>
      </c>
      <c r="D2657" s="82" t="str">
        <f t="shared" si="658"/>
        <v>Char</v>
      </c>
      <c r="E2657" s="82">
        <f t="shared" si="659"/>
        <v>1</v>
      </c>
      <c r="F2657" s="82" t="str">
        <f t="shared" si="660"/>
        <v/>
      </c>
      <c r="G2657" s="259" t="s">
        <v>6897</v>
      </c>
      <c r="H2657" s="260" t="s">
        <v>6900</v>
      </c>
      <c r="I2657" s="260" t="s">
        <v>6903</v>
      </c>
      <c r="J2657" s="260" t="s">
        <v>479</v>
      </c>
      <c r="K2657" s="260"/>
      <c r="L2657" s="262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45" t="s">
        <v>6462</v>
      </c>
      <c r="AA2657" s="246">
        <v>41581</v>
      </c>
      <c r="AB2657" s="76" t="s">
        <v>6929</v>
      </c>
    </row>
    <row r="2658" spans="1:28">
      <c r="A2658" s="247" t="s">
        <v>6665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7" t="s">
        <v>7024</v>
      </c>
      <c r="D2658" s="82" t="str">
        <f t="shared" si="658"/>
        <v>Char</v>
      </c>
      <c r="E2658" s="82">
        <f t="shared" si="659"/>
        <v>1</v>
      </c>
      <c r="F2658" s="82" t="str">
        <f t="shared" si="660"/>
        <v/>
      </c>
      <c r="G2658" s="259" t="s">
        <v>6897</v>
      </c>
      <c r="H2658" s="260" t="s">
        <v>6900</v>
      </c>
      <c r="I2658" s="260" t="s">
        <v>864</v>
      </c>
      <c r="J2658" s="260" t="s">
        <v>842</v>
      </c>
      <c r="K2658" s="260"/>
      <c r="L2658" s="262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45" t="s">
        <v>6462</v>
      </c>
      <c r="AA2658" s="246">
        <v>41581</v>
      </c>
      <c r="AB2658" s="76" t="s">
        <v>6929</v>
      </c>
    </row>
    <row r="2659" spans="1:28">
      <c r="A2659" s="247" t="s">
        <v>6447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7" t="s">
        <v>1832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6897</v>
      </c>
      <c r="H2659" s="260" t="s">
        <v>349</v>
      </c>
      <c r="I2659" s="260" t="s">
        <v>864</v>
      </c>
      <c r="J2659" s="260"/>
      <c r="K2659" s="260"/>
      <c r="L2659" s="262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45" t="s">
        <v>6462</v>
      </c>
      <c r="AA2659" s="246">
        <v>41581</v>
      </c>
      <c r="AB2659" s="76" t="s">
        <v>6929</v>
      </c>
    </row>
    <row r="2660" spans="1:28">
      <c r="A2660" s="247" t="s">
        <v>6666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7" t="s">
        <v>7024</v>
      </c>
      <c r="D2660" s="82" t="str">
        <f t="shared" si="658"/>
        <v>Char</v>
      </c>
      <c r="E2660" s="82">
        <f t="shared" si="659"/>
        <v>1</v>
      </c>
      <c r="F2660" s="82" t="str">
        <f t="shared" si="660"/>
        <v/>
      </c>
      <c r="G2660" s="259" t="s">
        <v>6897</v>
      </c>
      <c r="H2660" s="260" t="s">
        <v>6899</v>
      </c>
      <c r="I2660" s="260" t="s">
        <v>6903</v>
      </c>
      <c r="J2660" s="260" t="s">
        <v>479</v>
      </c>
      <c r="K2660" s="260"/>
      <c r="L2660" s="262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45" t="s">
        <v>6462</v>
      </c>
      <c r="AA2660" s="246">
        <v>41581</v>
      </c>
      <c r="AB2660" s="76" t="s">
        <v>6929</v>
      </c>
    </row>
    <row r="2661" spans="1:28">
      <c r="A2661" s="247" t="s">
        <v>6667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7" t="s">
        <v>7024</v>
      </c>
      <c r="D2661" s="82" t="str">
        <f t="shared" si="658"/>
        <v>Char</v>
      </c>
      <c r="E2661" s="82">
        <f t="shared" si="659"/>
        <v>1</v>
      </c>
      <c r="F2661" s="82" t="str">
        <f t="shared" si="660"/>
        <v/>
      </c>
      <c r="G2661" s="259" t="s">
        <v>6897</v>
      </c>
      <c r="H2661" s="260" t="s">
        <v>6899</v>
      </c>
      <c r="I2661" s="260" t="s">
        <v>6284</v>
      </c>
      <c r="J2661" s="260" t="s">
        <v>1726</v>
      </c>
      <c r="K2661" s="260"/>
      <c r="L2661" s="262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6462</v>
      </c>
      <c r="AA2661" s="246">
        <v>41581</v>
      </c>
      <c r="AB2661" s="76" t="s">
        <v>6929</v>
      </c>
    </row>
    <row r="2662" spans="1:28">
      <c r="A2662" s="247" t="s">
        <v>6690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7" t="s">
        <v>7018</v>
      </c>
      <c r="D2662" s="82" t="str">
        <f t="shared" si="658"/>
        <v>Char</v>
      </c>
      <c r="E2662" s="82">
        <f t="shared" si="659"/>
        <v>2</v>
      </c>
      <c r="F2662" s="82" t="str">
        <f t="shared" si="660"/>
        <v/>
      </c>
      <c r="G2662" s="259" t="s">
        <v>6897</v>
      </c>
      <c r="H2662" s="260" t="s">
        <v>104</v>
      </c>
      <c r="I2662" s="260" t="s">
        <v>6683</v>
      </c>
      <c r="J2662" s="260"/>
      <c r="K2662" s="260"/>
      <c r="L2662" s="262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45" t="s">
        <v>6462</v>
      </c>
      <c r="AA2662" s="246">
        <v>41581</v>
      </c>
      <c r="AB2662" s="76" t="s">
        <v>6929</v>
      </c>
    </row>
    <row r="2663" spans="1:28">
      <c r="A2663" s="247" t="s">
        <v>6448</v>
      </c>
      <c r="B2663" s="83" t="str">
        <f t="shared" si="701"/>
        <v>SKHK_A</v>
      </c>
      <c r="C2663" s="257" t="s">
        <v>753</v>
      </c>
      <c r="D2663" s="82" t="str">
        <f t="shared" si="658"/>
        <v>Number</v>
      </c>
      <c r="E2663" s="82">
        <f t="shared" si="659"/>
        <v>11</v>
      </c>
      <c r="F2663" s="82" t="str">
        <f t="shared" si="660"/>
        <v/>
      </c>
      <c r="G2663" s="259" t="s">
        <v>6897</v>
      </c>
      <c r="H2663" s="260" t="s">
        <v>6643</v>
      </c>
      <c r="I2663" s="260"/>
      <c r="J2663" s="260"/>
      <c r="K2663" s="260"/>
      <c r="L2663" s="262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45" t="s">
        <v>6462</v>
      </c>
      <c r="AA2663" s="246">
        <v>41581</v>
      </c>
      <c r="AB2663" s="76" t="s">
        <v>6929</v>
      </c>
    </row>
    <row r="2664" spans="1:28">
      <c r="A2664" s="247" t="s">
        <v>6449</v>
      </c>
      <c r="B2664" s="83" t="str">
        <f t="shared" si="701"/>
        <v>SKHK_P_RUIKEI</v>
      </c>
      <c r="C2664" s="257" t="s">
        <v>753</v>
      </c>
      <c r="D2664" s="82" t="str">
        <f t="shared" si="658"/>
        <v>Number</v>
      </c>
      <c r="E2664" s="82">
        <f t="shared" si="659"/>
        <v>11</v>
      </c>
      <c r="F2664" s="82" t="str">
        <f t="shared" si="660"/>
        <v/>
      </c>
      <c r="G2664" s="259" t="s">
        <v>6897</v>
      </c>
      <c r="H2664" s="260" t="s">
        <v>391</v>
      </c>
      <c r="I2664" s="260" t="s">
        <v>3578</v>
      </c>
      <c r="J2664" s="260"/>
      <c r="K2664" s="260"/>
      <c r="L2664" s="262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45" t="s">
        <v>6462</v>
      </c>
      <c r="AA2664" s="246">
        <v>41581</v>
      </c>
      <c r="AB2664" s="76" t="s">
        <v>6929</v>
      </c>
    </row>
    <row r="2665" spans="1:28">
      <c r="A2665" s="247" t="s">
        <v>6450</v>
      </c>
      <c r="B2665" s="83" t="str">
        <f t="shared" si="701"/>
        <v>SKHK_HARAIMODOSHIKIN</v>
      </c>
      <c r="C2665" s="257" t="s">
        <v>753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11</v>
      </c>
      <c r="F2665" s="82" t="str">
        <f t="shared" ref="F2665:F2725" si="710">IF(VLOOKUP($C2665,ドメイン,4,FALSE)=0,"",VLOOKUP($C2665,ドメイン,4,FALSE))</f>
        <v/>
      </c>
      <c r="G2665" s="259" t="s">
        <v>6897</v>
      </c>
      <c r="H2665" s="260" t="s">
        <v>100</v>
      </c>
      <c r="I2665" s="260"/>
      <c r="J2665" s="260"/>
      <c r="K2665" s="260"/>
      <c r="L2665" s="262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45" t="s">
        <v>6462</v>
      </c>
      <c r="AA2665" s="246">
        <v>41581</v>
      </c>
      <c r="AB2665" s="76" t="s">
        <v>6929</v>
      </c>
    </row>
    <row r="2666" spans="1:28">
      <c r="A2666" s="247" t="s">
        <v>6451</v>
      </c>
      <c r="B2666" s="83" t="str">
        <f t="shared" si="701"/>
        <v>SKHK_HENREI_RT</v>
      </c>
      <c r="C2666" s="257" t="s">
        <v>2465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6897</v>
      </c>
      <c r="H2666" s="260" t="s">
        <v>101</v>
      </c>
      <c r="I2666" s="260"/>
      <c r="J2666" s="260"/>
      <c r="K2666" s="260"/>
      <c r="L2666" s="262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45" t="s">
        <v>6462</v>
      </c>
      <c r="AA2666" s="246">
        <v>41581</v>
      </c>
      <c r="AB2666" s="76" t="s">
        <v>6929</v>
      </c>
    </row>
    <row r="2667" spans="1:28">
      <c r="A2667" s="247" t="s">
        <v>105</v>
      </c>
      <c r="B2667" s="83" t="str">
        <f t="shared" si="701"/>
        <v>SOGO_KAIZE_KOKA</v>
      </c>
      <c r="C2667" s="257" t="s">
        <v>753</v>
      </c>
      <c r="D2667" s="82" t="str">
        <f t="shared" si="708"/>
        <v>Number</v>
      </c>
      <c r="E2667" s="82">
        <f t="shared" si="709"/>
        <v>11</v>
      </c>
      <c r="F2667" s="82" t="str">
        <f t="shared" si="710"/>
        <v/>
      </c>
      <c r="G2667" s="259" t="s">
        <v>3061</v>
      </c>
      <c r="H2667" s="260" t="s">
        <v>6611</v>
      </c>
      <c r="I2667" s="260" t="s">
        <v>6612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6462</v>
      </c>
      <c r="AA2667" s="246">
        <v>41581</v>
      </c>
      <c r="AB2667" s="76" t="s">
        <v>6929</v>
      </c>
    </row>
    <row r="2668" spans="1:28">
      <c r="A2668" s="247" t="s">
        <v>6649</v>
      </c>
      <c r="B2668" s="83" t="str">
        <f t="shared" si="701"/>
        <v>SEHOGO_CASHF_KAIZGAKU</v>
      </c>
      <c r="C2668" s="257" t="s">
        <v>753</v>
      </c>
      <c r="D2668" s="82" t="str">
        <f t="shared" si="708"/>
        <v>Number</v>
      </c>
      <c r="E2668" s="82">
        <f t="shared" si="709"/>
        <v>11</v>
      </c>
      <c r="F2668" s="82" t="str">
        <f t="shared" si="710"/>
        <v/>
      </c>
      <c r="G2668" s="259" t="s">
        <v>6646</v>
      </c>
      <c r="H2668" s="260" t="s">
        <v>6860</v>
      </c>
      <c r="I2668" s="260" t="s">
        <v>6652</v>
      </c>
      <c r="J2668" s="260"/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45" t="s">
        <v>6462</v>
      </c>
      <c r="AA2668" s="246">
        <v>41581</v>
      </c>
      <c r="AB2668" s="76" t="s">
        <v>6929</v>
      </c>
    </row>
    <row r="2669" spans="1:28">
      <c r="A2669" s="247" t="s">
        <v>6452</v>
      </c>
      <c r="B2669" s="83" t="str">
        <f t="shared" si="701"/>
        <v>SEHOMAE_TIROKIN_JSHUS</v>
      </c>
      <c r="C2669" s="257" t="s">
        <v>753</v>
      </c>
      <c r="D2669" s="82" t="str">
        <f t="shared" si="708"/>
        <v>Number</v>
      </c>
      <c r="E2669" s="82">
        <f t="shared" si="709"/>
        <v>11</v>
      </c>
      <c r="F2669" s="82" t="str">
        <f t="shared" si="710"/>
        <v/>
      </c>
      <c r="G2669" s="259" t="s">
        <v>6644</v>
      </c>
      <c r="H2669" s="260" t="s">
        <v>6657</v>
      </c>
      <c r="I2669" s="260" t="s">
        <v>6877</v>
      </c>
      <c r="J2669" s="260"/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45" t="s">
        <v>6462</v>
      </c>
      <c r="AA2669" s="246">
        <v>41581</v>
      </c>
      <c r="AB2669" s="76" t="s">
        <v>6929</v>
      </c>
    </row>
    <row r="2670" spans="1:28">
      <c r="A2670" s="247" t="s">
        <v>6453</v>
      </c>
      <c r="B2670" s="83" t="str">
        <f t="shared" si="701"/>
        <v>SEHOMAE_SHISHUTSU_TIROKIN</v>
      </c>
      <c r="C2670" s="257" t="s">
        <v>753</v>
      </c>
      <c r="D2670" s="82" t="str">
        <f t="shared" si="708"/>
        <v>Number</v>
      </c>
      <c r="E2670" s="82">
        <f t="shared" si="709"/>
        <v>11</v>
      </c>
      <c r="F2670" s="82" t="str">
        <f t="shared" si="710"/>
        <v/>
      </c>
      <c r="G2670" s="259" t="s">
        <v>6644</v>
      </c>
      <c r="H2670" s="260" t="s">
        <v>2698</v>
      </c>
      <c r="I2670" s="260" t="s">
        <v>6657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6462</v>
      </c>
      <c r="AA2670" s="246">
        <v>41581</v>
      </c>
      <c r="AB2670" s="76" t="s">
        <v>6929</v>
      </c>
    </row>
    <row r="2671" spans="1:28">
      <c r="A2671" s="247" t="s">
        <v>6454</v>
      </c>
      <c r="B2671" s="83" t="str">
        <f t="shared" si="701"/>
        <v>SEHOGO_TIROKIN_JSHUS</v>
      </c>
      <c r="C2671" s="257" t="s">
        <v>753</v>
      </c>
      <c r="D2671" s="82" t="str">
        <f t="shared" si="708"/>
        <v>Number</v>
      </c>
      <c r="E2671" s="82">
        <f t="shared" si="709"/>
        <v>11</v>
      </c>
      <c r="F2671" s="82" t="str">
        <f t="shared" si="710"/>
        <v/>
      </c>
      <c r="G2671" s="259" t="s">
        <v>6646</v>
      </c>
      <c r="H2671" s="260" t="s">
        <v>6657</v>
      </c>
      <c r="I2671" s="260" t="s">
        <v>6877</v>
      </c>
      <c r="J2671" s="260"/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45" t="s">
        <v>6462</v>
      </c>
      <c r="AA2671" s="246">
        <v>41581</v>
      </c>
      <c r="AB2671" s="76" t="s">
        <v>6929</v>
      </c>
    </row>
    <row r="2672" spans="1:28">
      <c r="A2672" s="247" t="s">
        <v>6455</v>
      </c>
      <c r="B2672" s="83" t="str">
        <f t="shared" si="701"/>
        <v>SEHOGO_SHISHUTSU_TIROKIN</v>
      </c>
      <c r="C2672" s="257" t="s">
        <v>753</v>
      </c>
      <c r="D2672" s="82" t="str">
        <f t="shared" si="708"/>
        <v>Number</v>
      </c>
      <c r="E2672" s="82">
        <f t="shared" si="709"/>
        <v>11</v>
      </c>
      <c r="F2672" s="82" t="str">
        <f t="shared" si="710"/>
        <v/>
      </c>
      <c r="G2672" s="259" t="s">
        <v>6646</v>
      </c>
      <c r="H2672" s="260" t="s">
        <v>2698</v>
      </c>
      <c r="I2672" s="260" t="s">
        <v>6657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6462</v>
      </c>
      <c r="AA2672" s="246">
        <v>41581</v>
      </c>
      <c r="AB2672" s="76" t="s">
        <v>6929</v>
      </c>
    </row>
    <row r="2673" spans="1:28">
      <c r="A2673" s="247" t="s">
        <v>6456</v>
      </c>
      <c r="B2673" s="83" t="str">
        <f t="shared" si="701"/>
        <v>SEHOGO_SHISHUTSU_P</v>
      </c>
      <c r="C2673" s="257" t="s">
        <v>753</v>
      </c>
      <c r="D2673" s="82" t="str">
        <f t="shared" si="708"/>
        <v>Number</v>
      </c>
      <c r="E2673" s="82">
        <f t="shared" si="709"/>
        <v>11</v>
      </c>
      <c r="F2673" s="82" t="str">
        <f t="shared" si="710"/>
        <v/>
      </c>
      <c r="G2673" s="259" t="s">
        <v>6646</v>
      </c>
      <c r="H2673" s="260" t="s">
        <v>2698</v>
      </c>
      <c r="I2673" s="260" t="s">
        <v>391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6462</v>
      </c>
      <c r="AA2673" s="246">
        <v>41581</v>
      </c>
      <c r="AB2673" s="76" t="s">
        <v>6929</v>
      </c>
    </row>
    <row r="2674" spans="1:28">
      <c r="A2674" s="247" t="s">
        <v>6457</v>
      </c>
      <c r="B2674" s="83" t="str">
        <f t="shared" si="701"/>
        <v>SEHOGO_SYUSI_KYHENKIN</v>
      </c>
      <c r="C2674" s="257" t="s">
        <v>753</v>
      </c>
      <c r="D2674" s="82" t="str">
        <f t="shared" si="708"/>
        <v>Number</v>
      </c>
      <c r="E2674" s="82">
        <f t="shared" si="709"/>
        <v>11</v>
      </c>
      <c r="F2674" s="82" t="str">
        <f t="shared" si="710"/>
        <v/>
      </c>
      <c r="G2674" s="259" t="s">
        <v>6646</v>
      </c>
      <c r="H2674" s="260" t="s">
        <v>6881</v>
      </c>
      <c r="I2674" s="260"/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45" t="s">
        <v>6462</v>
      </c>
      <c r="AA2674" s="246">
        <v>41581</v>
      </c>
      <c r="AB2674" s="76" t="s">
        <v>6929</v>
      </c>
    </row>
    <row r="2675" spans="1:28">
      <c r="A2675" s="247" t="s">
        <v>6693</v>
      </c>
      <c r="B2675" s="83" t="str">
        <f t="shared" si="701"/>
        <v>SEHOGO_HOJZEI_FUTAGEN</v>
      </c>
      <c r="C2675" s="257" t="s">
        <v>753</v>
      </c>
      <c r="D2675" s="82" t="str">
        <f t="shared" si="708"/>
        <v>Number</v>
      </c>
      <c r="E2675" s="82">
        <f t="shared" si="709"/>
        <v>11</v>
      </c>
      <c r="F2675" s="82" t="str">
        <f t="shared" si="710"/>
        <v/>
      </c>
      <c r="G2675" s="259" t="s">
        <v>6646</v>
      </c>
      <c r="H2675" s="260" t="s">
        <v>6487</v>
      </c>
      <c r="I2675" s="260" t="s">
        <v>6655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6462</v>
      </c>
      <c r="AA2675" s="246">
        <v>41581</v>
      </c>
      <c r="AB2675" s="76" t="s">
        <v>6929</v>
      </c>
    </row>
    <row r="2676" spans="1:28">
      <c r="A2676" s="247" t="s">
        <v>6461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7" t="s">
        <v>6670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6671</v>
      </c>
      <c r="H2676" s="260" t="s">
        <v>195</v>
      </c>
      <c r="I2676" s="260" t="s">
        <v>6885</v>
      </c>
      <c r="J2676" s="260"/>
      <c r="K2676" s="260"/>
      <c r="L2676" s="262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45" t="s">
        <v>6462</v>
      </c>
      <c r="AA2676" s="246">
        <v>41581</v>
      </c>
      <c r="AB2676" s="76" t="s">
        <v>6929</v>
      </c>
    </row>
    <row r="2677" spans="1:28">
      <c r="A2677" s="247" t="s">
        <v>6531</v>
      </c>
      <c r="B2677" s="83" t="str">
        <f t="shared" si="711"/>
        <v>T_CORP_PFAMLY_NENKIN_DET</v>
      </c>
      <c r="C2677" s="257" t="s">
        <v>6670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6671</v>
      </c>
      <c r="H2677" s="260" t="s">
        <v>195</v>
      </c>
      <c r="I2677" s="260" t="s">
        <v>6885</v>
      </c>
      <c r="J2677" s="260" t="s">
        <v>1914</v>
      </c>
      <c r="K2677" s="262" t="s">
        <v>1827</v>
      </c>
      <c r="L2677" s="262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45" t="s">
        <v>6462</v>
      </c>
      <c r="AA2677" s="246">
        <v>41581</v>
      </c>
      <c r="AB2677" s="76" t="s">
        <v>6929</v>
      </c>
    </row>
    <row r="2678" spans="1:28">
      <c r="A2678" s="247" t="s">
        <v>6417</v>
      </c>
      <c r="B2678" s="83" t="str">
        <f t="shared" si="711"/>
        <v>T_CORP_KEIEISHA_RBUNSEKI</v>
      </c>
      <c r="C2678" s="257" t="s">
        <v>6670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6671</v>
      </c>
      <c r="H2678" s="260" t="s">
        <v>195</v>
      </c>
      <c r="I2678" s="260" t="s">
        <v>3761</v>
      </c>
      <c r="J2678" s="260" t="s">
        <v>6888</v>
      </c>
      <c r="K2678" s="260"/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45" t="s">
        <v>6462</v>
      </c>
      <c r="AA2678" s="246">
        <v>41581</v>
      </c>
      <c r="AB2678" s="76" t="s">
        <v>6929</v>
      </c>
    </row>
    <row r="2679" spans="1:28">
      <c r="A2679" s="247" t="s">
        <v>6858</v>
      </c>
      <c r="B2679" s="83" t="str">
        <f t="shared" si="711"/>
        <v>T_CORP_KENAOSI_SHIKIN</v>
      </c>
      <c r="C2679" s="257" t="s">
        <v>6670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6671</v>
      </c>
      <c r="H2679" s="260" t="s">
        <v>195</v>
      </c>
      <c r="I2679" s="260" t="s">
        <v>6566</v>
      </c>
      <c r="J2679" s="260" t="s">
        <v>444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45" t="s">
        <v>6462</v>
      </c>
      <c r="AA2679" s="246">
        <v>41581</v>
      </c>
      <c r="AB2679" s="76" t="s">
        <v>6929</v>
      </c>
    </row>
    <row r="2680" spans="1:28">
      <c r="A2680" s="247" t="s">
        <v>6431</v>
      </c>
      <c r="B2680" s="83" t="str">
        <f t="shared" si="711"/>
        <v>T_CORP_YAKUIN_TIROKIN</v>
      </c>
      <c r="C2680" s="257" t="s">
        <v>6670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6671</v>
      </c>
      <c r="H2680" s="260" t="s">
        <v>195</v>
      </c>
      <c r="I2680" s="260" t="s">
        <v>278</v>
      </c>
      <c r="J2680" s="260" t="s">
        <v>6657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6462</v>
      </c>
      <c r="AA2680" s="246">
        <v>41581</v>
      </c>
      <c r="AB2680" s="76" t="s">
        <v>6929</v>
      </c>
    </row>
    <row r="2681" spans="1:28">
      <c r="A2681" s="247" t="s">
        <v>6440</v>
      </c>
      <c r="B2681" s="83" t="str">
        <f t="shared" si="711"/>
        <v>T_CORP_CASHF_KAIZE</v>
      </c>
      <c r="C2681" s="257" t="s">
        <v>6670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6671</v>
      </c>
      <c r="H2681" s="260" t="s">
        <v>195</v>
      </c>
      <c r="I2681" s="260" t="s">
        <v>6632</v>
      </c>
      <c r="J2681" s="260" t="s">
        <v>6611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6462</v>
      </c>
      <c r="AA2681" s="246">
        <v>41581</v>
      </c>
      <c r="AB2681" s="76" t="s">
        <v>6929</v>
      </c>
    </row>
    <row r="2682" spans="1:28">
      <c r="A2682" s="247" t="s">
        <v>6458</v>
      </c>
      <c r="B2682" s="83" t="str">
        <f t="shared" si="711"/>
        <v>T_CORP_KAIZE_ROREI_NENKIN</v>
      </c>
      <c r="C2682" s="257" t="s">
        <v>6670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6671</v>
      </c>
      <c r="H2682" s="260" t="s">
        <v>195</v>
      </c>
      <c r="I2682" s="260" t="s">
        <v>6611</v>
      </c>
      <c r="J2682" s="260" t="s">
        <v>6672</v>
      </c>
      <c r="K2682" s="260" t="s">
        <v>1914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6462</v>
      </c>
      <c r="AA2682" s="246">
        <v>41581</v>
      </c>
      <c r="AB2682" s="76" t="s">
        <v>6929</v>
      </c>
    </row>
    <row r="2683" spans="1:28">
      <c r="A2683" s="247" t="s">
        <v>6904</v>
      </c>
      <c r="B2683" s="83" t="str">
        <f t="shared" si="711"/>
        <v>BUNSEKI_COMMENT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6905</v>
      </c>
      <c r="H2683" s="259" t="s">
        <v>6674</v>
      </c>
      <c r="I2683" s="259"/>
      <c r="J2683" s="260"/>
      <c r="K2683" s="260"/>
      <c r="L2683" s="262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5" t="s">
        <v>135</v>
      </c>
      <c r="AA2683" s="246">
        <v>41583</v>
      </c>
      <c r="AB2683" s="76" t="s">
        <v>6929</v>
      </c>
    </row>
    <row r="2684" spans="1:28">
      <c r="A2684" s="247" t="s">
        <v>6675</v>
      </c>
      <c r="B2684" s="83" t="str">
        <f t="shared" si="711"/>
        <v>SAGEMAE_YEAR_GAKU</v>
      </c>
      <c r="C2684" s="257" t="s">
        <v>6681</v>
      </c>
      <c r="D2684" s="82" t="str">
        <f t="shared" si="708"/>
        <v>Number</v>
      </c>
      <c r="E2684" s="82">
        <f t="shared" si="709"/>
        <v>11</v>
      </c>
      <c r="F2684" s="82" t="str">
        <f t="shared" si="710"/>
        <v/>
      </c>
      <c r="G2684" s="259" t="s">
        <v>6678</v>
      </c>
      <c r="H2684" s="260" t="s">
        <v>6676</v>
      </c>
      <c r="I2684" s="260" t="s">
        <v>6677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 t="s">
        <v>135</v>
      </c>
      <c r="AA2684" s="246">
        <v>41583</v>
      </c>
      <c r="AB2684" s="76" t="s">
        <v>6929</v>
      </c>
    </row>
    <row r="2685" spans="1:28">
      <c r="A2685" s="247" t="s">
        <v>6679</v>
      </c>
      <c r="B2685" s="83" t="str">
        <f t="shared" si="711"/>
        <v>SAGEGO_YEAR_GAKU</v>
      </c>
      <c r="C2685" s="257" t="s">
        <v>6681</v>
      </c>
      <c r="D2685" s="82" t="str">
        <f t="shared" si="708"/>
        <v>Number</v>
      </c>
      <c r="E2685" s="82">
        <f t="shared" si="709"/>
        <v>11</v>
      </c>
      <c r="F2685" s="82" t="str">
        <f t="shared" si="710"/>
        <v/>
      </c>
      <c r="G2685" s="259" t="s">
        <v>6680</v>
      </c>
      <c r="H2685" s="260" t="s">
        <v>6676</v>
      </c>
      <c r="I2685" s="260" t="s">
        <v>6677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 t="s">
        <v>135</v>
      </c>
      <c r="AA2685" s="246">
        <v>41583</v>
      </c>
      <c r="AB2685" s="76" t="s">
        <v>6929</v>
      </c>
    </row>
    <row r="2686" spans="1:28">
      <c r="A2686" s="247" t="s">
        <v>6713</v>
      </c>
      <c r="B2686" s="83" t="str">
        <f t="shared" si="711"/>
        <v>SAGEMAE_YKHOSHU</v>
      </c>
      <c r="C2686" s="257" t="s">
        <v>753</v>
      </c>
      <c r="D2686" s="82" t="str">
        <f t="shared" si="708"/>
        <v>Number</v>
      </c>
      <c r="E2686" s="82">
        <f t="shared" si="709"/>
        <v>11</v>
      </c>
      <c r="F2686" s="82" t="str">
        <f t="shared" si="710"/>
        <v/>
      </c>
      <c r="G2686" s="259" t="s">
        <v>6678</v>
      </c>
      <c r="H2686" s="259" t="s">
        <v>6898</v>
      </c>
      <c r="I2686" s="260"/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45" t="s">
        <v>135</v>
      </c>
      <c r="AA2686" s="246">
        <v>41583</v>
      </c>
      <c r="AB2686" s="76" t="s">
        <v>6929</v>
      </c>
    </row>
    <row r="2687" spans="1:28">
      <c r="A2687" s="247" t="s">
        <v>6711</v>
      </c>
      <c r="B2687" s="83" t="str">
        <f t="shared" si="711"/>
        <v>SAGEGO_YKHOSHU</v>
      </c>
      <c r="C2687" s="257" t="s">
        <v>753</v>
      </c>
      <c r="D2687" s="82" t="str">
        <f t="shared" si="708"/>
        <v>Number</v>
      </c>
      <c r="E2687" s="82">
        <f t="shared" si="709"/>
        <v>11</v>
      </c>
      <c r="F2687" s="82" t="str">
        <f t="shared" si="710"/>
        <v/>
      </c>
      <c r="G2687" s="259" t="s">
        <v>6680</v>
      </c>
      <c r="H2687" s="259" t="s">
        <v>6898</v>
      </c>
      <c r="I2687" s="260"/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45" t="s">
        <v>135</v>
      </c>
      <c r="AA2687" s="246">
        <v>41583</v>
      </c>
      <c r="AB2687" s="76" t="s">
        <v>6929</v>
      </c>
    </row>
    <row r="2688" spans="1:28">
      <c r="A2688" s="247" t="s">
        <v>6715</v>
      </c>
      <c r="B2688" s="83" t="str">
        <f t="shared" si="711"/>
        <v>SEHOGO_SYUSI</v>
      </c>
      <c r="C2688" s="257" t="s">
        <v>753</v>
      </c>
      <c r="D2688" s="82" t="str">
        <f t="shared" si="708"/>
        <v>Number</v>
      </c>
      <c r="E2688" s="82">
        <f t="shared" si="709"/>
        <v>11</v>
      </c>
      <c r="F2688" s="82" t="str">
        <f t="shared" si="710"/>
        <v/>
      </c>
      <c r="G2688" s="259" t="s">
        <v>6717</v>
      </c>
      <c r="H2688" s="260" t="s">
        <v>6613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 t="s">
        <v>135</v>
      </c>
      <c r="AA2688" s="246">
        <v>41583</v>
      </c>
      <c r="AB2688" s="76" t="s">
        <v>6929</v>
      </c>
    </row>
    <row r="2689" spans="1:28">
      <c r="A2689" s="247" t="s">
        <v>6718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6727</v>
      </c>
      <c r="H2689" s="260" t="s">
        <v>1849</v>
      </c>
      <c r="I2689" s="260"/>
      <c r="J2689" s="260"/>
      <c r="K2689" s="260"/>
      <c r="L2689" s="262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 t="s">
        <v>135</v>
      </c>
      <c r="AA2689" s="246">
        <v>41583</v>
      </c>
      <c r="AB2689" s="76" t="s">
        <v>6929</v>
      </c>
    </row>
    <row r="2690" spans="1:28">
      <c r="A2690" s="247" t="s">
        <v>7036</v>
      </c>
      <c r="B2690" s="83" t="str">
        <f t="shared" si="711"/>
        <v>NENKIN_TYPE_CD</v>
      </c>
      <c r="C2690" s="257" t="s">
        <v>7020</v>
      </c>
      <c r="D2690" s="82" t="str">
        <f t="shared" si="708"/>
        <v>Char</v>
      </c>
      <c r="E2690" s="82">
        <f t="shared" si="709"/>
        <v>1</v>
      </c>
      <c r="F2690" s="82" t="str">
        <f t="shared" si="710"/>
        <v/>
      </c>
      <c r="G2690" s="259" t="s">
        <v>6728</v>
      </c>
      <c r="H2690" s="260" t="s">
        <v>849</v>
      </c>
      <c r="I2690" s="260" t="s">
        <v>7032</v>
      </c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>_</v>
      </c>
      <c r="Q2690" s="81" t="str">
        <f t="shared" si="720"/>
        <v>CD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14</v>
      </c>
      <c r="Y2690" s="76" t="e">
        <f>VLOOKUP(A2690,#REF!,1,FALSE)</f>
        <v>#REF!</v>
      </c>
      <c r="Z2690" s="245" t="s">
        <v>135</v>
      </c>
      <c r="AA2690" s="246">
        <v>41583</v>
      </c>
      <c r="AB2690" s="76" t="s">
        <v>6929</v>
      </c>
    </row>
    <row r="2691" spans="1:28">
      <c r="A2691" s="247" t="s">
        <v>6719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6729</v>
      </c>
      <c r="H2691" s="260" t="s">
        <v>6730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 t="s">
        <v>135</v>
      </c>
      <c r="AA2691" s="246">
        <v>41583</v>
      </c>
      <c r="AB2691" s="76" t="s">
        <v>6929</v>
      </c>
    </row>
    <row r="2692" spans="1:28">
      <c r="A2692" s="247" t="s">
        <v>6720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6731</v>
      </c>
      <c r="H2692" s="260" t="s">
        <v>3642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 t="s">
        <v>135</v>
      </c>
      <c r="AA2692" s="246">
        <v>41583</v>
      </c>
      <c r="AB2692" s="76" t="s">
        <v>6929</v>
      </c>
    </row>
    <row r="2693" spans="1:28">
      <c r="A2693" s="247" t="s">
        <v>6765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1260</v>
      </c>
      <c r="I2693" s="260" t="s">
        <v>6766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6462</v>
      </c>
      <c r="AA2693" s="246">
        <v>41586</v>
      </c>
      <c r="AB2693" s="76" t="s">
        <v>6767</v>
      </c>
    </row>
    <row r="2694" spans="1:28">
      <c r="A2694" s="247" t="s">
        <v>6768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1260</v>
      </c>
      <c r="I2694" s="260" t="s">
        <v>348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6769</v>
      </c>
      <c r="AA2694" s="246">
        <v>41586</v>
      </c>
      <c r="AB2694" s="76" t="s">
        <v>6767</v>
      </c>
    </row>
    <row r="2695" spans="1:28">
      <c r="A2695" s="247" t="s">
        <v>6770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6771</v>
      </c>
      <c r="I2695" s="260" t="s">
        <v>6772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6736</v>
      </c>
      <c r="AA2695" s="246">
        <v>41586</v>
      </c>
      <c r="AB2695" s="76" t="s">
        <v>6767</v>
      </c>
    </row>
    <row r="2696" spans="1:28">
      <c r="A2696" s="247" t="s">
        <v>6773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6771</v>
      </c>
      <c r="I2696" s="260" t="s">
        <v>348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6736</v>
      </c>
      <c r="AA2696" s="246">
        <v>41586</v>
      </c>
      <c r="AB2696" s="76" t="s">
        <v>6767</v>
      </c>
    </row>
    <row r="2697" spans="1:28">
      <c r="A2697" s="247" t="s">
        <v>6774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183</v>
      </c>
      <c r="I2697" s="260" t="s">
        <v>3619</v>
      </c>
      <c r="J2697" s="260" t="s">
        <v>177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6736</v>
      </c>
      <c r="AA2697" s="246">
        <v>41586</v>
      </c>
      <c r="AB2697" s="76" t="s">
        <v>6767</v>
      </c>
    </row>
    <row r="2698" spans="1:28">
      <c r="A2698" s="247" t="s">
        <v>6775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183</v>
      </c>
      <c r="I2698" s="260" t="s">
        <v>6776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6736</v>
      </c>
      <c r="AA2698" s="246">
        <v>41586</v>
      </c>
      <c r="AB2698" s="76" t="s">
        <v>6767</v>
      </c>
    </row>
    <row r="2699" spans="1:28">
      <c r="A2699" s="247" t="s">
        <v>6777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183</v>
      </c>
      <c r="I2699" s="260" t="s">
        <v>6748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6736</v>
      </c>
      <c r="AA2699" s="246">
        <v>41586</v>
      </c>
      <c r="AB2699" s="76" t="s">
        <v>6767</v>
      </c>
    </row>
    <row r="2700" spans="1:28">
      <c r="A2700" s="247" t="s">
        <v>6778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183</v>
      </c>
      <c r="I2700" s="260" t="s">
        <v>375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6736</v>
      </c>
      <c r="AA2700" s="246">
        <v>41586</v>
      </c>
      <c r="AB2700" s="76" t="s">
        <v>6767</v>
      </c>
    </row>
    <row r="2701" spans="1:28">
      <c r="A2701" s="247" t="s">
        <v>6779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6780</v>
      </c>
      <c r="H2701" s="260" t="s">
        <v>1260</v>
      </c>
      <c r="I2701" s="260" t="s">
        <v>6772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6736</v>
      </c>
      <c r="AA2701" s="246">
        <v>41586</v>
      </c>
      <c r="AB2701" s="76" t="s">
        <v>6767</v>
      </c>
    </row>
    <row r="2702" spans="1:28">
      <c r="A2702" s="247" t="s">
        <v>6781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6809</v>
      </c>
      <c r="H2702" s="260" t="s">
        <v>1260</v>
      </c>
      <c r="I2702" s="260" t="s">
        <v>348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6736</v>
      </c>
      <c r="AA2702" s="246">
        <v>41586</v>
      </c>
      <c r="AB2702" s="76" t="s">
        <v>6767</v>
      </c>
    </row>
    <row r="2703" spans="1:28">
      <c r="A2703" s="247" t="s">
        <v>6782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6780</v>
      </c>
      <c r="H2703" s="260" t="s">
        <v>6771</v>
      </c>
      <c r="I2703" s="260" t="s">
        <v>6772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6736</v>
      </c>
      <c r="AA2703" s="246">
        <v>41586</v>
      </c>
      <c r="AB2703" s="76" t="s">
        <v>6767</v>
      </c>
    </row>
    <row r="2704" spans="1:28">
      <c r="A2704" s="247" t="s">
        <v>6783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6780</v>
      </c>
      <c r="H2704" s="260" t="s">
        <v>6771</v>
      </c>
      <c r="I2704" s="260" t="s">
        <v>348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6736</v>
      </c>
      <c r="AA2704" s="246">
        <v>41586</v>
      </c>
      <c r="AB2704" s="76" t="s">
        <v>6767</v>
      </c>
    </row>
    <row r="2705" spans="1:28">
      <c r="A2705" s="247" t="s">
        <v>6784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2228</v>
      </c>
      <c r="H2705" s="260" t="s">
        <v>6750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6736</v>
      </c>
      <c r="AA2705" s="246">
        <v>41586</v>
      </c>
      <c r="AB2705" s="76" t="s">
        <v>6767</v>
      </c>
    </row>
    <row r="2706" spans="1:28">
      <c r="A2706" s="247" t="s">
        <v>6785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6780</v>
      </c>
      <c r="H2706" s="260" t="s">
        <v>183</v>
      </c>
      <c r="I2706" s="260" t="s">
        <v>3619</v>
      </c>
      <c r="J2706" s="260" t="s">
        <v>177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6736</v>
      </c>
      <c r="AA2706" s="246">
        <v>41586</v>
      </c>
      <c r="AB2706" s="76" t="s">
        <v>6767</v>
      </c>
    </row>
    <row r="2707" spans="1:28">
      <c r="A2707" s="247" t="s">
        <v>6786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6780</v>
      </c>
      <c r="H2707" s="260" t="s">
        <v>183</v>
      </c>
      <c r="I2707" s="260" t="s">
        <v>6776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6736</v>
      </c>
      <c r="AA2707" s="246">
        <v>41586</v>
      </c>
      <c r="AB2707" s="76" t="s">
        <v>6767</v>
      </c>
    </row>
    <row r="2708" spans="1:28">
      <c r="A2708" s="247" t="s">
        <v>6787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6780</v>
      </c>
      <c r="H2708" s="260" t="s">
        <v>183</v>
      </c>
      <c r="I2708" s="260" t="s">
        <v>6748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6736</v>
      </c>
      <c r="AA2708" s="246">
        <v>41586</v>
      </c>
      <c r="AB2708" s="76" t="s">
        <v>6767</v>
      </c>
    </row>
    <row r="2709" spans="1:28">
      <c r="A2709" s="247" t="s">
        <v>6788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6780</v>
      </c>
      <c r="H2709" s="260" t="s">
        <v>183</v>
      </c>
      <c r="I2709" s="260" t="s">
        <v>3638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6736</v>
      </c>
      <c r="AA2709" s="246">
        <v>41586</v>
      </c>
      <c r="AB2709" s="76" t="s">
        <v>6767</v>
      </c>
    </row>
    <row r="2710" spans="1:28">
      <c r="A2710" s="247" t="s">
        <v>6789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6780</v>
      </c>
      <c r="H2710" s="260" t="s">
        <v>183</v>
      </c>
      <c r="I2710" s="260" t="s">
        <v>6790</v>
      </c>
      <c r="J2710" s="260" t="s">
        <v>375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6736</v>
      </c>
      <c r="AA2710" s="246">
        <v>41586</v>
      </c>
      <c r="AB2710" s="76" t="s">
        <v>6767</v>
      </c>
    </row>
    <row r="2711" spans="1:28">
      <c r="A2711" s="247" t="s">
        <v>6791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6792</v>
      </c>
      <c r="H2711" s="260" t="s">
        <v>6793</v>
      </c>
      <c r="I2711" s="260" t="s">
        <v>746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6736</v>
      </c>
      <c r="AA2711" s="246">
        <v>41586</v>
      </c>
      <c r="AB2711" s="76" t="s">
        <v>6767</v>
      </c>
    </row>
    <row r="2712" spans="1:28">
      <c r="A2712" s="247" t="s">
        <v>6794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6795</v>
      </c>
      <c r="H2712" s="260" t="s">
        <v>6793</v>
      </c>
      <c r="I2712" s="260" t="s">
        <v>746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6736</v>
      </c>
      <c r="AA2712" s="246">
        <v>41586</v>
      </c>
      <c r="AB2712" s="76" t="s">
        <v>6767</v>
      </c>
    </row>
    <row r="2713" spans="1:28">
      <c r="A2713" s="247" t="s">
        <v>6796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6754</v>
      </c>
      <c r="H2713" s="260" t="s">
        <v>6797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6736</v>
      </c>
      <c r="AA2713" s="246">
        <v>41586</v>
      </c>
      <c r="AB2713" s="76" t="s">
        <v>6767</v>
      </c>
    </row>
    <row r="2714" spans="1:28">
      <c r="A2714" s="247" t="s">
        <v>6798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6756</v>
      </c>
      <c r="H2714" s="260" t="s">
        <v>6797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6736</v>
      </c>
      <c r="AA2714" s="246">
        <v>41586</v>
      </c>
      <c r="AB2714" s="76" t="s">
        <v>6767</v>
      </c>
    </row>
    <row r="2715" spans="1:28">
      <c r="A2715" s="247" t="s">
        <v>6799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6756</v>
      </c>
      <c r="H2715" s="260" t="s">
        <v>6766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6736</v>
      </c>
      <c r="AA2715" s="246">
        <v>41586</v>
      </c>
      <c r="AB2715" s="76" t="s">
        <v>6767</v>
      </c>
    </row>
    <row r="2716" spans="1:28">
      <c r="A2716" s="247" t="s">
        <v>6800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6756</v>
      </c>
      <c r="H2716" s="260" t="s">
        <v>1025</v>
      </c>
      <c r="I2716" s="260" t="s">
        <v>3361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6736</v>
      </c>
      <c r="AA2716" s="246">
        <v>41586</v>
      </c>
      <c r="AB2716" s="76" t="s">
        <v>6767</v>
      </c>
    </row>
    <row r="2717" spans="1:28">
      <c r="A2717" s="247" t="s">
        <v>6801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6756</v>
      </c>
      <c r="H2717" s="260" t="s">
        <v>2207</v>
      </c>
      <c r="I2717" s="260" t="s">
        <v>3361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6736</v>
      </c>
      <c r="AA2717" s="246">
        <v>41586</v>
      </c>
      <c r="AB2717" s="76" t="s">
        <v>6767</v>
      </c>
    </row>
    <row r="2718" spans="1:28">
      <c r="A2718" s="247" t="s">
        <v>6802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6761</v>
      </c>
      <c r="H2718" s="260" t="s">
        <v>3520</v>
      </c>
      <c r="I2718" s="260" t="s">
        <v>6803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6736</v>
      </c>
      <c r="AA2718" s="246">
        <v>41586</v>
      </c>
      <c r="AB2718" s="76" t="s">
        <v>6767</v>
      </c>
    </row>
    <row r="2719" spans="1:28">
      <c r="A2719" s="247" t="s">
        <v>6804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6763</v>
      </c>
      <c r="H2719" s="260" t="s">
        <v>3520</v>
      </c>
      <c r="I2719" s="260" t="s">
        <v>6803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6740</v>
      </c>
      <c r="AA2719" s="246">
        <v>41586</v>
      </c>
      <c r="AB2719" s="76" t="s">
        <v>6767</v>
      </c>
    </row>
    <row r="2720" spans="1:28">
      <c r="A2720" s="247" t="s">
        <v>6805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2753</v>
      </c>
      <c r="H2720" s="260" t="s">
        <v>6766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6736</v>
      </c>
      <c r="AA2720" s="246">
        <v>41586</v>
      </c>
      <c r="AB2720" s="76" t="s">
        <v>6767</v>
      </c>
    </row>
    <row r="2721" spans="1:28">
      <c r="A2721" s="247" t="s">
        <v>6806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2753</v>
      </c>
      <c r="H2721" s="260" t="s">
        <v>6807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6736</v>
      </c>
      <c r="AA2721" s="246">
        <v>41586</v>
      </c>
      <c r="AB2721" s="76" t="s">
        <v>6767</v>
      </c>
    </row>
    <row r="2722" spans="1:28">
      <c r="A2722" s="247" t="s">
        <v>6808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2482</v>
      </c>
      <c r="H2722" s="260" t="s">
        <v>1828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6736</v>
      </c>
      <c r="AA2722" s="246">
        <v>41586</v>
      </c>
      <c r="AB2722" s="76" t="s">
        <v>6767</v>
      </c>
    </row>
    <row r="2723" spans="1:28">
      <c r="A2723" s="247" t="s">
        <v>6812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6813</v>
      </c>
      <c r="H2723" s="260" t="s">
        <v>6814</v>
      </c>
      <c r="I2723" s="260" t="s">
        <v>6815</v>
      </c>
      <c r="J2723" s="260" t="s">
        <v>6816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6817</v>
      </c>
      <c r="AA2723" s="246">
        <v>41586</v>
      </c>
      <c r="AB2723" s="76" t="s">
        <v>6737</v>
      </c>
    </row>
    <row r="2724" spans="1:28">
      <c r="A2724" s="247" t="s">
        <v>6818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6819</v>
      </c>
      <c r="H2724" s="260" t="s">
        <v>6820</v>
      </c>
      <c r="I2724" s="260" t="s">
        <v>6821</v>
      </c>
      <c r="J2724" s="260" t="s">
        <v>6822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6823</v>
      </c>
      <c r="AA2724" s="246">
        <v>41586</v>
      </c>
      <c r="AB2724" s="76" t="s">
        <v>6737</v>
      </c>
    </row>
    <row r="2725" spans="1:28">
      <c r="A2725" s="247" t="s">
        <v>6912</v>
      </c>
      <c r="B2725" s="83" t="str">
        <f t="shared" si="711"/>
        <v>GYOSHU_CD</v>
      </c>
      <c r="C2725" s="257" t="s">
        <v>7018</v>
      </c>
      <c r="D2725" s="82" t="str">
        <f t="shared" si="708"/>
        <v>Char</v>
      </c>
      <c r="E2725" s="82">
        <f t="shared" si="709"/>
        <v>2</v>
      </c>
      <c r="F2725" s="82" t="str">
        <f t="shared" si="710"/>
        <v/>
      </c>
      <c r="G2725" s="259" t="s">
        <v>6913</v>
      </c>
      <c r="H2725" s="260" t="s">
        <v>6908</v>
      </c>
      <c r="I2725" s="260"/>
      <c r="J2725" s="260"/>
      <c r="K2725" s="260"/>
      <c r="L2725" s="262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45" t="s">
        <v>6823</v>
      </c>
      <c r="AA2725" s="246">
        <v>41591</v>
      </c>
      <c r="AB2725" s="76" t="s">
        <v>6929</v>
      </c>
    </row>
    <row r="2726" spans="1:28">
      <c r="A2726" s="247" t="s">
        <v>6909</v>
      </c>
      <c r="B2726" s="83" t="str">
        <f t="shared" si="711"/>
        <v>SEX_CD</v>
      </c>
      <c r="C2726" s="257" t="s">
        <v>7020</v>
      </c>
      <c r="D2726" s="82" t="str">
        <f t="shared" ref="D2726:D2805" si="742">IF(VLOOKUP($C2726,ドメイン,2,FALSE)=0,"",VLOOKUP($C2726,ドメイン,2,FALSE))</f>
        <v>Char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9" t="s">
        <v>6906</v>
      </c>
      <c r="H2726" s="260" t="s">
        <v>6908</v>
      </c>
      <c r="I2726" s="260"/>
      <c r="J2726" s="260"/>
      <c r="K2726" s="260"/>
      <c r="L2726" s="262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45" t="s">
        <v>6823</v>
      </c>
      <c r="AA2726" s="246">
        <v>41591</v>
      </c>
      <c r="AB2726" s="76" t="s">
        <v>6929</v>
      </c>
    </row>
    <row r="2727" spans="1:28">
      <c r="A2727" s="247" t="s">
        <v>6910</v>
      </c>
      <c r="B2727" s="83" t="str">
        <f t="shared" si="711"/>
        <v>SHIGOTO_CD</v>
      </c>
      <c r="C2727" s="257" t="s">
        <v>7018</v>
      </c>
      <c r="D2727" s="82" t="str">
        <f t="shared" si="742"/>
        <v>Char</v>
      </c>
      <c r="E2727" s="82">
        <f t="shared" si="743"/>
        <v>2</v>
      </c>
      <c r="F2727" s="82" t="str">
        <f t="shared" si="744"/>
        <v/>
      </c>
      <c r="G2727" s="259" t="s">
        <v>6907</v>
      </c>
      <c r="H2727" s="260" t="s">
        <v>6908</v>
      </c>
      <c r="I2727" s="260"/>
      <c r="J2727" s="260"/>
      <c r="K2727" s="260"/>
      <c r="L2727" s="262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45" t="s">
        <v>6823</v>
      </c>
      <c r="AA2727" s="246">
        <v>41591</v>
      </c>
      <c r="AB2727" s="76" t="s">
        <v>6929</v>
      </c>
    </row>
    <row r="2728" spans="1:28">
      <c r="A2728" s="247" t="s">
        <v>7039</v>
      </c>
      <c r="B2728" s="83" t="str">
        <f t="shared" si="711"/>
        <v>CHOIKIN_SANSHUTSU_KB_CD</v>
      </c>
      <c r="C2728" s="257" t="s">
        <v>7020</v>
      </c>
      <c r="D2728" s="82" t="str">
        <f t="shared" si="742"/>
        <v>Char</v>
      </c>
      <c r="E2728" s="82">
        <f t="shared" si="743"/>
        <v>1</v>
      </c>
      <c r="F2728" s="82" t="str">
        <f t="shared" si="744"/>
        <v/>
      </c>
      <c r="G2728" s="259" t="s">
        <v>38</v>
      </c>
      <c r="H2728" s="260" t="s">
        <v>2915</v>
      </c>
      <c r="I2728" s="260" t="s">
        <v>6915</v>
      </c>
      <c r="J2728" s="260" t="s">
        <v>7032</v>
      </c>
      <c r="K2728" s="260"/>
      <c r="L2728" s="262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>_</v>
      </c>
      <c r="S2728" s="81" t="str">
        <f t="shared" si="721"/>
        <v>CD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23</v>
      </c>
      <c r="Y2728" s="76" t="e">
        <f>VLOOKUP(A2728,#REF!,1,FALSE)</f>
        <v>#REF!</v>
      </c>
      <c r="Z2728" s="245" t="s">
        <v>6823</v>
      </c>
      <c r="AA2728" s="246">
        <v>41591</v>
      </c>
      <c r="AB2728" s="76" t="s">
        <v>6929</v>
      </c>
    </row>
    <row r="2729" spans="1:28">
      <c r="A2729" s="247" t="s">
        <v>6920</v>
      </c>
      <c r="B2729" s="83" t="str">
        <f t="shared" si="711"/>
        <v>BUNSEKI_CREATE_DATE</v>
      </c>
      <c r="C2729" s="257" t="s">
        <v>6928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9" t="s">
        <v>6924</v>
      </c>
      <c r="H2729" s="260" t="s">
        <v>6925</v>
      </c>
      <c r="I2729" s="260" t="s">
        <v>6926</v>
      </c>
      <c r="J2729" s="260"/>
      <c r="K2729" s="260"/>
      <c r="L2729" s="262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45" t="s">
        <v>6823</v>
      </c>
      <c r="AA2729" s="246">
        <v>41591</v>
      </c>
      <c r="AB2729" s="76" t="s">
        <v>6929</v>
      </c>
    </row>
    <row r="2730" spans="1:28">
      <c r="A2730" s="247" t="s">
        <v>6923</v>
      </c>
      <c r="B2730" s="83" t="str">
        <f t="shared" si="711"/>
        <v>BUNSEKI_UPDATE_DATE</v>
      </c>
      <c r="C2730" s="257" t="s">
        <v>6928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9" t="s">
        <v>6905</v>
      </c>
      <c r="H2730" s="260" t="s">
        <v>6927</v>
      </c>
      <c r="I2730" s="260" t="s">
        <v>6926</v>
      </c>
      <c r="J2730" s="260"/>
      <c r="K2730" s="260"/>
      <c r="L2730" s="262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45" t="s">
        <v>6823</v>
      </c>
      <c r="AA2730" s="246">
        <v>41591</v>
      </c>
      <c r="AB2730" s="76" t="s">
        <v>6929</v>
      </c>
    </row>
    <row r="2731" spans="1:28">
      <c r="A2731" s="247" t="s">
        <v>6959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7" t="s">
        <v>7020</v>
      </c>
      <c r="D2731" s="82" t="str">
        <f t="shared" si="742"/>
        <v>Char</v>
      </c>
      <c r="E2731" s="82">
        <f t="shared" si="743"/>
        <v>1</v>
      </c>
      <c r="F2731" s="82" t="str">
        <f t="shared" si="744"/>
        <v/>
      </c>
      <c r="G2731" s="259" t="s">
        <v>6897</v>
      </c>
      <c r="H2731" s="260" t="s">
        <v>499</v>
      </c>
      <c r="I2731" s="260" t="s">
        <v>4651</v>
      </c>
      <c r="J2731" s="260" t="s">
        <v>6683</v>
      </c>
      <c r="K2731" s="260"/>
      <c r="L2731" s="262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45"/>
      <c r="AA2731" s="246"/>
    </row>
    <row r="2732" spans="1:28">
      <c r="A2732" s="247" t="s">
        <v>6961</v>
      </c>
      <c r="B2732" s="83" t="str">
        <f t="shared" si="745"/>
        <v>SKHK_KATA_NAME</v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 t="s">
        <v>6897</v>
      </c>
      <c r="H2732" s="260" t="s">
        <v>6965</v>
      </c>
      <c r="I2732" s="260" t="s">
        <v>6967</v>
      </c>
      <c r="J2732" s="260"/>
      <c r="K2732" s="260"/>
      <c r="L2732" s="262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45"/>
      <c r="AA2732" s="246"/>
    </row>
    <row r="2733" spans="1:28">
      <c r="A2733" s="247" t="s">
        <v>6962</v>
      </c>
      <c r="B2733" s="83" t="str">
        <f t="shared" si="745"/>
        <v>SKHK_HOKEN_KIKAN_NAME</v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 t="s">
        <v>6897</v>
      </c>
      <c r="H2733" s="260" t="s">
        <v>499</v>
      </c>
      <c r="I2733" s="260" t="s">
        <v>864</v>
      </c>
      <c r="J2733" s="260" t="s">
        <v>6967</v>
      </c>
      <c r="K2733" s="260"/>
      <c r="L2733" s="262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45"/>
      <c r="AA2733" s="246"/>
    </row>
    <row r="2734" spans="1:28">
      <c r="A2734" s="247" t="s">
        <v>6963</v>
      </c>
      <c r="B2734" s="83" t="str">
        <f t="shared" si="745"/>
        <v>SKHK_HARAI_KIKAN_NAME</v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 t="s">
        <v>6897</v>
      </c>
      <c r="H2734" s="260" t="s">
        <v>6970</v>
      </c>
      <c r="I2734" s="260"/>
      <c r="J2734" s="260"/>
      <c r="K2734" s="260"/>
      <c r="L2734" s="262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45"/>
      <c r="AA2734" s="246"/>
    </row>
    <row r="2735" spans="1:28">
      <c r="A2735" s="247" t="s">
        <v>6964</v>
      </c>
      <c r="B2735" s="83" t="str">
        <f t="shared" si="745"/>
        <v>SKHK_HARAIKATA_NAME</v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 t="s">
        <v>6897</v>
      </c>
      <c r="H2735" s="260" t="s">
        <v>6966</v>
      </c>
      <c r="I2735" s="260" t="s">
        <v>6967</v>
      </c>
      <c r="J2735" s="260"/>
      <c r="K2735" s="260"/>
      <c r="L2735" s="262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45"/>
      <c r="AA2735" s="246"/>
    </row>
    <row r="2736" spans="1:28">
      <c r="A2736" s="247" t="s">
        <v>6983</v>
      </c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FAMILY_KB</v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 t="s">
        <v>6984</v>
      </c>
      <c r="H2736" s="260" t="s">
        <v>177</v>
      </c>
      <c r="I2736" s="260"/>
      <c r="J2736" s="260"/>
      <c r="K2736" s="260"/>
      <c r="L2736" s="262"/>
      <c r="M2736" s="82" t="str">
        <f t="shared" ref="M2736:M2799" si="753">VLOOKUP(G2736,単語辞書,2,FALSE)</f>
        <v>FAMILY</v>
      </c>
      <c r="N2736" s="81" t="str">
        <f t="shared" ref="N2736:N2799" si="754">IF(ISNA(O2736),"","_")</f>
        <v>_</v>
      </c>
      <c r="O2736" s="81" t="str">
        <f t="shared" ref="O2736:O2799" si="755">VLOOKUP(H2736,単語辞書,2,FALSE)</f>
        <v>KB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9</v>
      </c>
      <c r="Y2736" s="76" t="e">
        <f>VLOOKUP(A2736,#REF!,1,FALSE)</f>
        <v>#REF!</v>
      </c>
      <c r="Z2736" s="245"/>
      <c r="AA2736" s="246"/>
    </row>
    <row r="2737" spans="1:27">
      <c r="A2737" s="247" t="s">
        <v>7028</v>
      </c>
      <c r="B2737" s="83" t="str">
        <f t="shared" si="752"/>
        <v>BIRTH_AGE_SELECT_CD</v>
      </c>
      <c r="C2737" s="257" t="s">
        <v>7021</v>
      </c>
      <c r="D2737" s="82" t="str">
        <f t="shared" si="742"/>
        <v>Char</v>
      </c>
      <c r="E2737" s="82">
        <f t="shared" si="743"/>
        <v>1</v>
      </c>
      <c r="F2737" s="82" t="str">
        <f t="shared" si="744"/>
        <v/>
      </c>
      <c r="G2737" s="259" t="s">
        <v>6985</v>
      </c>
      <c r="H2737" s="260" t="s">
        <v>6986</v>
      </c>
      <c r="I2737" s="260" t="s">
        <v>6987</v>
      </c>
      <c r="J2737" s="260" t="s">
        <v>7029</v>
      </c>
      <c r="K2737" s="260"/>
      <c r="L2737" s="262"/>
      <c r="M2737" s="82" t="str">
        <f t="shared" si="753"/>
        <v>BIRTH</v>
      </c>
      <c r="N2737" s="81" t="str">
        <f t="shared" si="754"/>
        <v>_</v>
      </c>
      <c r="O2737" s="81" t="str">
        <f t="shared" si="755"/>
        <v>AGE</v>
      </c>
      <c r="P2737" s="81" t="str">
        <f t="shared" si="756"/>
        <v>_</v>
      </c>
      <c r="Q2737" s="81" t="str">
        <f t="shared" si="757"/>
        <v>SELECT</v>
      </c>
      <c r="R2737" s="81" t="str">
        <f t="shared" si="758"/>
        <v>_</v>
      </c>
      <c r="S2737" s="81" t="str">
        <f t="shared" si="759"/>
        <v>CD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19</v>
      </c>
      <c r="Y2737" s="76" t="e">
        <f>VLOOKUP(A2737,#REF!,1,FALSE)</f>
        <v>#REF!</v>
      </c>
      <c r="Z2737" s="245"/>
      <c r="AA2737" s="246"/>
    </row>
    <row r="2738" spans="1:27">
      <c r="A2738" s="247" t="s">
        <v>7003</v>
      </c>
      <c r="B2738" s="83" t="str">
        <f t="shared" si="752"/>
        <v>ZTRRNKNJ_AGE</v>
      </c>
      <c r="C2738" s="257" t="s">
        <v>7014</v>
      </c>
      <c r="D2738" s="82" t="str">
        <f t="shared" si="742"/>
        <v>Number</v>
      </c>
      <c r="E2738" s="82">
        <f t="shared" si="743"/>
        <v>3</v>
      </c>
      <c r="F2738" s="82" t="str">
        <f t="shared" si="744"/>
        <v/>
      </c>
      <c r="G2738" s="259" t="s">
        <v>7011</v>
      </c>
      <c r="H2738" s="260" t="s">
        <v>131</v>
      </c>
      <c r="I2738" s="260"/>
      <c r="J2738" s="260"/>
      <c r="K2738" s="260"/>
      <c r="L2738" s="262"/>
      <c r="M2738" s="82" t="str">
        <f t="shared" si="753"/>
        <v>ZTRRNKNJ</v>
      </c>
      <c r="N2738" s="81" t="str">
        <f t="shared" si="754"/>
        <v>_</v>
      </c>
      <c r="O2738" s="81" t="str">
        <f t="shared" si="755"/>
        <v>AGE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12</v>
      </c>
      <c r="Y2738" s="76" t="e">
        <f>VLOOKUP(A2738,#REF!,1,FALSE)</f>
        <v>#REF!</v>
      </c>
      <c r="Z2738" s="245"/>
      <c r="AA2738" s="246"/>
    </row>
    <row r="2739" spans="1:27">
      <c r="A2739" s="247" t="s">
        <v>7005</v>
      </c>
      <c r="B2739" s="83" t="str">
        <f t="shared" si="752"/>
        <v>ZTRRNKNJ_SEIREKINEN</v>
      </c>
      <c r="C2739" s="257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73" t="s">
        <v>7011</v>
      </c>
      <c r="H2739" s="274" t="s">
        <v>3162</v>
      </c>
      <c r="I2739" s="260"/>
      <c r="J2739" s="260"/>
      <c r="K2739" s="260"/>
      <c r="L2739" s="262"/>
      <c r="M2739" s="82" t="str">
        <f t="shared" si="753"/>
        <v>ZTRRNKNJ</v>
      </c>
      <c r="N2739" s="81" t="str">
        <f t="shared" si="754"/>
        <v>_</v>
      </c>
      <c r="O2739" s="81" t="str">
        <f t="shared" si="755"/>
        <v>SEIREKINEN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19</v>
      </c>
      <c r="Y2739" s="76" t="e">
        <f>VLOOKUP(A2739,#REF!,1,FALSE)</f>
        <v>#REF!</v>
      </c>
      <c r="Z2739" s="245"/>
      <c r="AA2739" s="246"/>
    </row>
    <row r="2740" spans="1:27">
      <c r="A2740" s="247" t="s">
        <v>7007</v>
      </c>
      <c r="B2740" s="83" t="str">
        <f t="shared" si="752"/>
        <v>ZTRRNKNJ_SAGEMAE_GAKU</v>
      </c>
      <c r="C2740" s="257" t="s">
        <v>7015</v>
      </c>
      <c r="D2740" s="82" t="str">
        <f t="shared" si="742"/>
        <v>Number</v>
      </c>
      <c r="E2740" s="82">
        <f t="shared" si="743"/>
        <v>11</v>
      </c>
      <c r="F2740" s="82" t="str">
        <f t="shared" si="744"/>
        <v/>
      </c>
      <c r="G2740" s="273" t="s">
        <v>7011</v>
      </c>
      <c r="H2740" s="275" t="s">
        <v>6678</v>
      </c>
      <c r="I2740" s="260" t="s">
        <v>7012</v>
      </c>
      <c r="J2740" s="260"/>
      <c r="K2740" s="260"/>
      <c r="L2740" s="262"/>
      <c r="M2740" s="82" t="str">
        <f t="shared" si="753"/>
        <v>ZTRRNKNJ</v>
      </c>
      <c r="N2740" s="81" t="str">
        <f t="shared" si="754"/>
        <v>_</v>
      </c>
      <c r="O2740" s="81" t="str">
        <f t="shared" si="755"/>
        <v>SAGEMAE</v>
      </c>
      <c r="P2740" s="81" t="str">
        <f t="shared" si="756"/>
        <v>_</v>
      </c>
      <c r="Q2740" s="81" t="str">
        <f t="shared" si="757"/>
        <v>GAKU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21</v>
      </c>
      <c r="Y2740" s="76" t="e">
        <f>VLOOKUP(A2740,#REF!,1,FALSE)</f>
        <v>#REF!</v>
      </c>
      <c r="Z2740" s="245"/>
      <c r="AA2740" s="246"/>
    </row>
    <row r="2741" spans="1:27">
      <c r="A2741" s="247" t="s">
        <v>7009</v>
      </c>
      <c r="B2741" s="83" t="str">
        <f t="shared" si="752"/>
        <v>ZTRRNKNJ_SAGEGO_GAKU</v>
      </c>
      <c r="C2741" s="257" t="s">
        <v>7015</v>
      </c>
      <c r="D2741" s="82" t="str">
        <f t="shared" si="742"/>
        <v>Number</v>
      </c>
      <c r="E2741" s="82">
        <f t="shared" si="743"/>
        <v>11</v>
      </c>
      <c r="F2741" s="82" t="str">
        <f t="shared" si="744"/>
        <v/>
      </c>
      <c r="G2741" s="273" t="s">
        <v>7011</v>
      </c>
      <c r="H2741" s="275" t="s">
        <v>6680</v>
      </c>
      <c r="I2741" s="260" t="s">
        <v>7012</v>
      </c>
      <c r="J2741" s="260"/>
      <c r="K2741" s="260"/>
      <c r="L2741" s="262"/>
      <c r="M2741" s="82" t="str">
        <f t="shared" si="753"/>
        <v>ZTRRNKNJ</v>
      </c>
      <c r="N2741" s="81" t="str">
        <f t="shared" si="754"/>
        <v>_</v>
      </c>
      <c r="O2741" s="81" t="str">
        <f t="shared" si="755"/>
        <v>SAGEGO</v>
      </c>
      <c r="P2741" s="81" t="str">
        <f t="shared" si="756"/>
        <v>_</v>
      </c>
      <c r="Q2741" s="81" t="str">
        <f t="shared" si="757"/>
        <v>GAKU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20</v>
      </c>
      <c r="Y2741" s="76" t="e">
        <f>VLOOKUP(A2741,#REF!,1,FALSE)</f>
        <v>#REF!</v>
      </c>
      <c r="Z2741" s="245"/>
      <c r="AA2741" s="246"/>
    </row>
    <row r="2742" spans="1:27">
      <c r="A2742" s="247"/>
      <c r="B2742" s="83" t="str">
        <f t="shared" si="752"/>
        <v/>
      </c>
      <c r="C2742" s="257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73"/>
      <c r="H2742" s="276"/>
      <c r="I2742" s="260"/>
      <c r="J2742" s="260"/>
      <c r="K2742" s="260"/>
      <c r="L2742" s="262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5"/>
      <c r="AA2742" s="246"/>
    </row>
    <row r="2743" spans="1:27">
      <c r="A2743" s="247"/>
      <c r="B2743" s="83" t="str">
        <f t="shared" si="752"/>
        <v/>
      </c>
      <c r="C2743" s="257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9"/>
      <c r="H2743" s="260"/>
      <c r="I2743" s="260"/>
      <c r="J2743" s="260"/>
      <c r="K2743" s="260"/>
      <c r="L2743" s="262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5"/>
      <c r="AA2743" s="246"/>
    </row>
    <row r="2744" spans="1:27">
      <c r="A2744" s="247"/>
      <c r="B2744" s="83" t="str">
        <f t="shared" si="752"/>
        <v/>
      </c>
      <c r="C2744" s="257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9"/>
      <c r="H2744" s="260"/>
      <c r="I2744" s="260"/>
      <c r="J2744" s="260"/>
      <c r="K2744" s="260"/>
      <c r="L2744" s="262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5"/>
      <c r="AA2744" s="246"/>
    </row>
    <row r="2745" spans="1:27">
      <c r="A2745" s="247"/>
      <c r="B2745" s="83" t="str">
        <f t="shared" si="752"/>
        <v/>
      </c>
      <c r="C2745" s="257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9"/>
      <c r="H2745" s="260"/>
      <c r="I2745" s="260"/>
      <c r="J2745" s="260"/>
      <c r="K2745" s="260"/>
      <c r="L2745" s="262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5"/>
      <c r="AA2745" s="246"/>
    </row>
    <row r="2746" spans="1:27">
      <c r="A2746" s="247"/>
      <c r="B2746" s="83" t="str">
        <f t="shared" si="752"/>
        <v/>
      </c>
      <c r="C2746" s="257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9"/>
      <c r="H2746" s="260"/>
      <c r="I2746" s="260"/>
      <c r="J2746" s="260"/>
      <c r="K2746" s="260"/>
      <c r="L2746" s="262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5"/>
      <c r="AA2746" s="246"/>
    </row>
    <row r="2747" spans="1:27">
      <c r="A2747" s="247"/>
      <c r="B2747" s="83" t="str">
        <f t="shared" si="752"/>
        <v/>
      </c>
      <c r="C2747" s="257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9"/>
      <c r="H2747" s="260"/>
      <c r="I2747" s="260"/>
      <c r="J2747" s="260"/>
      <c r="K2747" s="260"/>
      <c r="L2747" s="262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5"/>
      <c r="AA2747" s="246"/>
    </row>
    <row r="2748" spans="1:27">
      <c r="A2748" s="247"/>
      <c r="B2748" s="83" t="str">
        <f t="shared" si="752"/>
        <v/>
      </c>
      <c r="C2748" s="257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9"/>
      <c r="H2748" s="260"/>
      <c r="I2748" s="260"/>
      <c r="J2748" s="260"/>
      <c r="K2748" s="260"/>
      <c r="L2748" s="262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5"/>
      <c r="AA2748" s="246"/>
    </row>
    <row r="2749" spans="1:27">
      <c r="A2749" s="247"/>
      <c r="B2749" s="83" t="str">
        <f t="shared" si="752"/>
        <v/>
      </c>
      <c r="C2749" s="257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9"/>
      <c r="H2749" s="260"/>
      <c r="I2749" s="260"/>
      <c r="J2749" s="260"/>
      <c r="K2749" s="260"/>
      <c r="L2749" s="262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5"/>
      <c r="AA2749" s="246"/>
    </row>
    <row r="2750" spans="1:27">
      <c r="A2750" s="247"/>
      <c r="B2750" s="83" t="str">
        <f t="shared" si="752"/>
        <v/>
      </c>
      <c r="C2750" s="257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9"/>
      <c r="H2750" s="260"/>
      <c r="I2750" s="260"/>
      <c r="J2750" s="260"/>
      <c r="K2750" s="260"/>
      <c r="L2750" s="262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5"/>
      <c r="AA2750" s="246"/>
    </row>
    <row r="2751" spans="1:27">
      <c r="A2751" s="247"/>
      <c r="B2751" s="83" t="str">
        <f t="shared" si="752"/>
        <v/>
      </c>
      <c r="C2751" s="257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9"/>
      <c r="H2751" s="260"/>
      <c r="I2751" s="260"/>
      <c r="J2751" s="260"/>
      <c r="K2751" s="260"/>
      <c r="L2751" s="262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5"/>
      <c r="AA2751" s="246"/>
    </row>
    <row r="2752" spans="1:27">
      <c r="A2752" s="247"/>
      <c r="B2752" s="83" t="str">
        <f t="shared" si="752"/>
        <v/>
      </c>
      <c r="C2752" s="257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9"/>
      <c r="H2752" s="260"/>
      <c r="I2752" s="260"/>
      <c r="J2752" s="260"/>
      <c r="K2752" s="260"/>
      <c r="L2752" s="262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5"/>
      <c r="AA2752" s="246"/>
    </row>
    <row r="2753" spans="1:27">
      <c r="A2753" s="247"/>
      <c r="B2753" s="83" t="str">
        <f t="shared" si="752"/>
        <v/>
      </c>
      <c r="C2753" s="257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9"/>
      <c r="H2753" s="260"/>
      <c r="I2753" s="260"/>
      <c r="J2753" s="260"/>
      <c r="K2753" s="260"/>
      <c r="L2753" s="262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5"/>
      <c r="AA2753" s="246"/>
    </row>
    <row r="2754" spans="1:27">
      <c r="A2754" s="247"/>
      <c r="B2754" s="83" t="str">
        <f t="shared" si="752"/>
        <v/>
      </c>
      <c r="C2754" s="257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9"/>
      <c r="H2754" s="260"/>
      <c r="I2754" s="260"/>
      <c r="J2754" s="260"/>
      <c r="K2754" s="260"/>
      <c r="L2754" s="262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5"/>
      <c r="AA2754" s="246"/>
    </row>
    <row r="2755" spans="1:27">
      <c r="A2755" s="247"/>
      <c r="B2755" s="83" t="str">
        <f t="shared" si="752"/>
        <v/>
      </c>
      <c r="C2755" s="257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9"/>
      <c r="H2755" s="260"/>
      <c r="I2755" s="260"/>
      <c r="J2755" s="260"/>
      <c r="K2755" s="260"/>
      <c r="L2755" s="262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5"/>
      <c r="AA2755" s="246"/>
    </row>
    <row r="2756" spans="1:27">
      <c r="A2756" s="247"/>
      <c r="B2756" s="83" t="str">
        <f t="shared" si="752"/>
        <v/>
      </c>
      <c r="C2756" s="257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9"/>
      <c r="H2756" s="260"/>
      <c r="I2756" s="260"/>
      <c r="J2756" s="260"/>
      <c r="K2756" s="260"/>
      <c r="L2756" s="262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5"/>
      <c r="AA2756" s="246"/>
    </row>
    <row r="2757" spans="1:27">
      <c r="A2757" s="247"/>
      <c r="B2757" s="83" t="str">
        <f t="shared" si="752"/>
        <v/>
      </c>
      <c r="C2757" s="257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9"/>
      <c r="H2757" s="260"/>
      <c r="I2757" s="260"/>
      <c r="J2757" s="260"/>
      <c r="K2757" s="260"/>
      <c r="L2757" s="262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5"/>
      <c r="AA2757" s="246"/>
    </row>
    <row r="2758" spans="1:27">
      <c r="A2758" s="247"/>
      <c r="B2758" s="83" t="str">
        <f t="shared" si="752"/>
        <v/>
      </c>
      <c r="C2758" s="257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9"/>
      <c r="H2758" s="260"/>
      <c r="I2758" s="260"/>
      <c r="J2758" s="260"/>
      <c r="K2758" s="260"/>
      <c r="L2758" s="262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5"/>
      <c r="AA2758" s="246"/>
    </row>
    <row r="2759" spans="1:27">
      <c r="A2759" s="247"/>
      <c r="B2759" s="83" t="str">
        <f t="shared" si="752"/>
        <v/>
      </c>
      <c r="C2759" s="257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9"/>
      <c r="H2759" s="260"/>
      <c r="I2759" s="260"/>
      <c r="J2759" s="260"/>
      <c r="K2759" s="260"/>
      <c r="L2759" s="262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5"/>
      <c r="AA2759" s="246"/>
    </row>
    <row r="2760" spans="1:27">
      <c r="A2760" s="247"/>
      <c r="B2760" s="83" t="str">
        <f t="shared" si="752"/>
        <v/>
      </c>
      <c r="C2760" s="257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9"/>
      <c r="H2760" s="260"/>
      <c r="I2760" s="260"/>
      <c r="J2760" s="260"/>
      <c r="K2760" s="260"/>
      <c r="L2760" s="262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5"/>
      <c r="AA2760" s="246"/>
    </row>
    <row r="2761" spans="1:27">
      <c r="A2761" s="247"/>
      <c r="B2761" s="83" t="str">
        <f t="shared" si="752"/>
        <v/>
      </c>
      <c r="C2761" s="257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9"/>
      <c r="H2761" s="260"/>
      <c r="I2761" s="260"/>
      <c r="J2761" s="260"/>
      <c r="K2761" s="260"/>
      <c r="L2761" s="262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5"/>
      <c r="AA2761" s="246"/>
    </row>
    <row r="2762" spans="1:27">
      <c r="A2762" s="247"/>
      <c r="B2762" s="83" t="str">
        <f t="shared" si="752"/>
        <v/>
      </c>
      <c r="C2762" s="257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9"/>
      <c r="H2762" s="260"/>
      <c r="I2762" s="260"/>
      <c r="J2762" s="260"/>
      <c r="K2762" s="260"/>
      <c r="L2762" s="262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5"/>
      <c r="AA2762" s="246"/>
    </row>
    <row r="2763" spans="1:27">
      <c r="A2763" s="247"/>
      <c r="B2763" s="83" t="str">
        <f t="shared" si="752"/>
        <v/>
      </c>
      <c r="C2763" s="257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9"/>
      <c r="H2763" s="260"/>
      <c r="I2763" s="260"/>
      <c r="J2763" s="260"/>
      <c r="K2763" s="260"/>
      <c r="L2763" s="262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5"/>
      <c r="AA2763" s="246"/>
    </row>
    <row r="2764" spans="1:27">
      <c r="A2764" s="247"/>
      <c r="B2764" s="83" t="str">
        <f t="shared" si="752"/>
        <v/>
      </c>
      <c r="C2764" s="257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9"/>
      <c r="H2764" s="260"/>
      <c r="I2764" s="260"/>
      <c r="J2764" s="260"/>
      <c r="K2764" s="260"/>
      <c r="L2764" s="262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5"/>
      <c r="AA2764" s="246"/>
    </row>
    <row r="2765" spans="1:27">
      <c r="A2765" s="247"/>
      <c r="B2765" s="83" t="str">
        <f t="shared" si="752"/>
        <v/>
      </c>
      <c r="C2765" s="257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9"/>
      <c r="H2765" s="260"/>
      <c r="I2765" s="260"/>
      <c r="J2765" s="260"/>
      <c r="K2765" s="260"/>
      <c r="L2765" s="262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5"/>
      <c r="AA2765" s="246"/>
    </row>
    <row r="2766" spans="1:27">
      <c r="A2766" s="247"/>
      <c r="B2766" s="83" t="str">
        <f t="shared" si="752"/>
        <v/>
      </c>
      <c r="C2766" s="257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9"/>
      <c r="H2766" s="260"/>
      <c r="I2766" s="260"/>
      <c r="J2766" s="260"/>
      <c r="K2766" s="260"/>
      <c r="L2766" s="262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5"/>
      <c r="AA2766" s="246"/>
    </row>
    <row r="2767" spans="1:27">
      <c r="A2767" s="247"/>
      <c r="B2767" s="83" t="str">
        <f t="shared" si="752"/>
        <v/>
      </c>
      <c r="C2767" s="257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9"/>
      <c r="H2767" s="260"/>
      <c r="I2767" s="260"/>
      <c r="J2767" s="260"/>
      <c r="K2767" s="260"/>
      <c r="L2767" s="262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5"/>
      <c r="AA2767" s="246"/>
    </row>
    <row r="2768" spans="1:27">
      <c r="A2768" s="247"/>
      <c r="B2768" s="83" t="str">
        <f t="shared" si="752"/>
        <v/>
      </c>
      <c r="C2768" s="257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9"/>
      <c r="H2768" s="260"/>
      <c r="I2768" s="260"/>
      <c r="J2768" s="260"/>
      <c r="K2768" s="260"/>
      <c r="L2768" s="262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5"/>
      <c r="AA2768" s="246"/>
    </row>
    <row r="2769" spans="1:27">
      <c r="A2769" s="247"/>
      <c r="B2769" s="83" t="str">
        <f t="shared" si="752"/>
        <v/>
      </c>
      <c r="C2769" s="257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9"/>
      <c r="H2769" s="260"/>
      <c r="I2769" s="260"/>
      <c r="J2769" s="260"/>
      <c r="K2769" s="260"/>
      <c r="L2769" s="262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5"/>
      <c r="AA2769" s="246"/>
    </row>
    <row r="2770" spans="1:27">
      <c r="A2770" s="247"/>
      <c r="B2770" s="83" t="str">
        <f t="shared" si="752"/>
        <v/>
      </c>
      <c r="C2770" s="257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9"/>
      <c r="H2770" s="260"/>
      <c r="I2770" s="260"/>
      <c r="J2770" s="260"/>
      <c r="K2770" s="260"/>
      <c r="L2770" s="262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5"/>
      <c r="AA2770" s="246"/>
    </row>
    <row r="2771" spans="1:27">
      <c r="A2771" s="247"/>
      <c r="B2771" s="83" t="str">
        <f t="shared" si="752"/>
        <v/>
      </c>
      <c r="C2771" s="257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9"/>
      <c r="H2771" s="260"/>
      <c r="I2771" s="260"/>
      <c r="J2771" s="260"/>
      <c r="K2771" s="260"/>
      <c r="L2771" s="262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5"/>
      <c r="AA2771" s="246"/>
    </row>
    <row r="2772" spans="1:27">
      <c r="A2772" s="247"/>
      <c r="B2772" s="83" t="str">
        <f t="shared" si="752"/>
        <v/>
      </c>
      <c r="C2772" s="257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9"/>
      <c r="H2772" s="260"/>
      <c r="I2772" s="260"/>
      <c r="J2772" s="260"/>
      <c r="K2772" s="260"/>
      <c r="L2772" s="262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5"/>
      <c r="AA2772" s="246"/>
    </row>
    <row r="2773" spans="1:27">
      <c r="A2773" s="247"/>
      <c r="B2773" s="83" t="str">
        <f t="shared" si="752"/>
        <v/>
      </c>
      <c r="C2773" s="257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9"/>
      <c r="H2773" s="260"/>
      <c r="I2773" s="260"/>
      <c r="J2773" s="260"/>
      <c r="K2773" s="260"/>
      <c r="L2773" s="262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5"/>
      <c r="AA2773" s="246"/>
    </row>
    <row r="2774" spans="1:27">
      <c r="A2774" s="247"/>
      <c r="B2774" s="83" t="str">
        <f t="shared" si="752"/>
        <v/>
      </c>
      <c r="C2774" s="257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9"/>
      <c r="H2774" s="260"/>
      <c r="I2774" s="260"/>
      <c r="J2774" s="260"/>
      <c r="K2774" s="260"/>
      <c r="L2774" s="262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5"/>
      <c r="AA2774" s="246"/>
    </row>
    <row r="2775" spans="1:27">
      <c r="A2775" s="247"/>
      <c r="B2775" s="83" t="str">
        <f t="shared" si="752"/>
        <v/>
      </c>
      <c r="C2775" s="257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9"/>
      <c r="H2775" s="260"/>
      <c r="I2775" s="260"/>
      <c r="J2775" s="260"/>
      <c r="K2775" s="260"/>
      <c r="L2775" s="262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5"/>
      <c r="AA2775" s="246"/>
    </row>
    <row r="2776" spans="1:27">
      <c r="A2776" s="247"/>
      <c r="B2776" s="83" t="str">
        <f t="shared" si="752"/>
        <v/>
      </c>
      <c r="C2776" s="257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9"/>
      <c r="H2776" s="260"/>
      <c r="I2776" s="260"/>
      <c r="J2776" s="260"/>
      <c r="K2776" s="260"/>
      <c r="L2776" s="262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5"/>
      <c r="AA2776" s="246"/>
    </row>
    <row r="2777" spans="1:27">
      <c r="A2777" s="247"/>
      <c r="B2777" s="83" t="str">
        <f t="shared" si="752"/>
        <v/>
      </c>
      <c r="C2777" s="257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9"/>
      <c r="H2777" s="260"/>
      <c r="I2777" s="260"/>
      <c r="J2777" s="260"/>
      <c r="K2777" s="260"/>
      <c r="L2777" s="262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5"/>
      <c r="AA2777" s="246"/>
    </row>
    <row r="2778" spans="1:27">
      <c r="A2778" s="247"/>
      <c r="B2778" s="83" t="str">
        <f t="shared" si="752"/>
        <v/>
      </c>
      <c r="C2778" s="257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9"/>
      <c r="H2778" s="260"/>
      <c r="I2778" s="260"/>
      <c r="J2778" s="260"/>
      <c r="K2778" s="260"/>
      <c r="L2778" s="262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5"/>
      <c r="AA2778" s="246"/>
    </row>
    <row r="2779" spans="1:27">
      <c r="A2779" s="247"/>
      <c r="B2779" s="83" t="str">
        <f t="shared" si="752"/>
        <v/>
      </c>
      <c r="C2779" s="257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9"/>
      <c r="H2779" s="260"/>
      <c r="I2779" s="260"/>
      <c r="J2779" s="260"/>
      <c r="K2779" s="260"/>
      <c r="L2779" s="262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5"/>
      <c r="AA2779" s="246"/>
    </row>
    <row r="2780" spans="1:27">
      <c r="A2780" s="247"/>
      <c r="B2780" s="83" t="str">
        <f t="shared" si="752"/>
        <v/>
      </c>
      <c r="C2780" s="257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9"/>
      <c r="H2780" s="260"/>
      <c r="I2780" s="260"/>
      <c r="J2780" s="260"/>
      <c r="K2780" s="260"/>
      <c r="L2780" s="262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5"/>
      <c r="AA2780" s="246"/>
    </row>
    <row r="2781" spans="1:27">
      <c r="A2781" s="247"/>
      <c r="B2781" s="83" t="str">
        <f t="shared" si="752"/>
        <v/>
      </c>
      <c r="C2781" s="257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9"/>
      <c r="H2781" s="260"/>
      <c r="I2781" s="260"/>
      <c r="J2781" s="260"/>
      <c r="K2781" s="260"/>
      <c r="L2781" s="262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5"/>
      <c r="AA2781" s="246"/>
    </row>
    <row r="2782" spans="1:27">
      <c r="A2782" s="247"/>
      <c r="B2782" s="83" t="str">
        <f t="shared" si="752"/>
        <v/>
      </c>
      <c r="C2782" s="257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9"/>
      <c r="H2782" s="260"/>
      <c r="I2782" s="260"/>
      <c r="J2782" s="260"/>
      <c r="K2782" s="260"/>
      <c r="L2782" s="262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5"/>
      <c r="AA2782" s="246"/>
    </row>
    <row r="2783" spans="1:27">
      <c r="A2783" s="247"/>
      <c r="B2783" s="83" t="str">
        <f t="shared" si="752"/>
        <v/>
      </c>
      <c r="C2783" s="257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9"/>
      <c r="H2783" s="260"/>
      <c r="I2783" s="260"/>
      <c r="J2783" s="260"/>
      <c r="K2783" s="260"/>
      <c r="L2783" s="262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5"/>
      <c r="AA2783" s="246"/>
    </row>
    <row r="2784" spans="1:27">
      <c r="A2784" s="247"/>
      <c r="B2784" s="83" t="str">
        <f t="shared" si="752"/>
        <v/>
      </c>
      <c r="C2784" s="257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9"/>
      <c r="H2784" s="260"/>
      <c r="I2784" s="260"/>
      <c r="J2784" s="260"/>
      <c r="K2784" s="260"/>
      <c r="L2784" s="262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5"/>
      <c r="AA2784" s="246"/>
    </row>
    <row r="2785" spans="1:27">
      <c r="A2785" s="247"/>
      <c r="B2785" s="83" t="str">
        <f t="shared" si="752"/>
        <v/>
      </c>
      <c r="C2785" s="257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9"/>
      <c r="H2785" s="260"/>
      <c r="I2785" s="260"/>
      <c r="J2785" s="260"/>
      <c r="K2785" s="260"/>
      <c r="L2785" s="262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5"/>
      <c r="AA2785" s="246"/>
    </row>
    <row r="2786" spans="1:27">
      <c r="A2786" s="247"/>
      <c r="B2786" s="83" t="str">
        <f t="shared" si="752"/>
        <v/>
      </c>
      <c r="C2786" s="257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9"/>
      <c r="H2786" s="260"/>
      <c r="I2786" s="260"/>
      <c r="J2786" s="260"/>
      <c r="K2786" s="260"/>
      <c r="L2786" s="262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5"/>
      <c r="AA2786" s="246"/>
    </row>
    <row r="2787" spans="1:27">
      <c r="A2787" s="247"/>
      <c r="B2787" s="83" t="str">
        <f t="shared" si="752"/>
        <v/>
      </c>
      <c r="C2787" s="257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9"/>
      <c r="H2787" s="260"/>
      <c r="I2787" s="260"/>
      <c r="J2787" s="260"/>
      <c r="K2787" s="260"/>
      <c r="L2787" s="262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5"/>
      <c r="AA2787" s="246"/>
    </row>
    <row r="2788" spans="1:27">
      <c r="A2788" s="247"/>
      <c r="B2788" s="83" t="str">
        <f t="shared" si="752"/>
        <v/>
      </c>
      <c r="C2788" s="257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9"/>
      <c r="H2788" s="260"/>
      <c r="I2788" s="260"/>
      <c r="J2788" s="260"/>
      <c r="K2788" s="260"/>
      <c r="L2788" s="262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5"/>
      <c r="AA2788" s="246"/>
    </row>
    <row r="2789" spans="1:27">
      <c r="A2789" s="247"/>
      <c r="B2789" s="83" t="str">
        <f t="shared" si="752"/>
        <v/>
      </c>
      <c r="C2789" s="257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9"/>
      <c r="H2789" s="260"/>
      <c r="I2789" s="260"/>
      <c r="J2789" s="260"/>
      <c r="K2789" s="260"/>
      <c r="L2789" s="262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5"/>
      <c r="AA2789" s="246"/>
    </row>
    <row r="2790" spans="1:27">
      <c r="A2790" s="247"/>
      <c r="B2790" s="83" t="str">
        <f t="shared" si="752"/>
        <v/>
      </c>
      <c r="C2790" s="257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9"/>
      <c r="H2790" s="260"/>
      <c r="I2790" s="260"/>
      <c r="J2790" s="260"/>
      <c r="K2790" s="260"/>
      <c r="L2790" s="262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5"/>
      <c r="AA2790" s="246"/>
    </row>
    <row r="2791" spans="1:27">
      <c r="A2791" s="247"/>
      <c r="B2791" s="83" t="str">
        <f t="shared" si="752"/>
        <v/>
      </c>
      <c r="C2791" s="257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9"/>
      <c r="H2791" s="260"/>
      <c r="I2791" s="260"/>
      <c r="J2791" s="260"/>
      <c r="K2791" s="260"/>
      <c r="L2791" s="262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5"/>
      <c r="AA2791" s="246"/>
    </row>
    <row r="2792" spans="1:27">
      <c r="A2792" s="247"/>
      <c r="B2792" s="83" t="str">
        <f t="shared" si="752"/>
        <v/>
      </c>
      <c r="C2792" s="257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9"/>
      <c r="H2792" s="260"/>
      <c r="I2792" s="260"/>
      <c r="J2792" s="260"/>
      <c r="K2792" s="260"/>
      <c r="L2792" s="262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5"/>
      <c r="AA2792" s="246"/>
    </row>
    <row r="2793" spans="1:27">
      <c r="A2793" s="247"/>
      <c r="B2793" s="83" t="str">
        <f t="shared" si="752"/>
        <v/>
      </c>
      <c r="C2793" s="257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9"/>
      <c r="H2793" s="260"/>
      <c r="I2793" s="260"/>
      <c r="J2793" s="260"/>
      <c r="K2793" s="260"/>
      <c r="L2793" s="262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5"/>
      <c r="AA2793" s="246"/>
    </row>
    <row r="2794" spans="1:27">
      <c r="A2794" s="247"/>
      <c r="B2794" s="83" t="str">
        <f t="shared" si="752"/>
        <v/>
      </c>
      <c r="C2794" s="257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9"/>
      <c r="H2794" s="260"/>
      <c r="I2794" s="260"/>
      <c r="J2794" s="260"/>
      <c r="K2794" s="260"/>
      <c r="L2794" s="262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5"/>
      <c r="AA2794" s="246"/>
    </row>
    <row r="2795" spans="1:27">
      <c r="A2795" s="247"/>
      <c r="B2795" s="83" t="str">
        <f t="shared" si="752"/>
        <v/>
      </c>
      <c r="C2795" s="257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9"/>
      <c r="H2795" s="260"/>
      <c r="I2795" s="260"/>
      <c r="J2795" s="260"/>
      <c r="K2795" s="260"/>
      <c r="L2795" s="262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5"/>
      <c r="AA2795" s="246"/>
    </row>
    <row r="2796" spans="1:27">
      <c r="A2796" s="247"/>
      <c r="B2796" s="83" t="str">
        <f t="shared" si="752"/>
        <v/>
      </c>
      <c r="C2796" s="257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9"/>
      <c r="H2796" s="260"/>
      <c r="I2796" s="260"/>
      <c r="J2796" s="260"/>
      <c r="K2796" s="260"/>
      <c r="L2796" s="262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5"/>
      <c r="AA2796" s="246"/>
    </row>
    <row r="2797" spans="1:27">
      <c r="A2797" s="247"/>
      <c r="B2797" s="83" t="str">
        <f t="shared" si="752"/>
        <v/>
      </c>
      <c r="C2797" s="257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9"/>
      <c r="H2797" s="260"/>
      <c r="I2797" s="260"/>
      <c r="J2797" s="260"/>
      <c r="K2797" s="260"/>
      <c r="L2797" s="262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45"/>
      <c r="AA2797" s="246"/>
    </row>
    <row r="2798" spans="1:27">
      <c r="A2798" s="247"/>
      <c r="B2798" s="83" t="str">
        <f t="shared" si="752"/>
        <v/>
      </c>
      <c r="C2798" s="257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9"/>
      <c r="H2798" s="260"/>
      <c r="I2798" s="260"/>
      <c r="J2798" s="260"/>
      <c r="K2798" s="260"/>
      <c r="L2798" s="262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45"/>
      <c r="AA2798" s="246"/>
    </row>
    <row r="2799" spans="1:27">
      <c r="A2799" s="247"/>
      <c r="B2799" s="83" t="str">
        <f t="shared" si="752"/>
        <v/>
      </c>
      <c r="C2799" s="257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9"/>
      <c r="H2799" s="260"/>
      <c r="I2799" s="260"/>
      <c r="J2799" s="260"/>
      <c r="K2799" s="260"/>
      <c r="L2799" s="262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45"/>
      <c r="AA2799" s="246"/>
    </row>
    <row r="2800" spans="1:27">
      <c r="A2800" s="247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7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9"/>
      <c r="H2800" s="260"/>
      <c r="I2800" s="260"/>
      <c r="J2800" s="260"/>
      <c r="K2800" s="260"/>
      <c r="L2800" s="262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45"/>
      <c r="AA2800" s="246"/>
    </row>
    <row r="2801" spans="1:27">
      <c r="A2801" s="247"/>
      <c r="B2801" s="83" t="str">
        <f t="shared" si="765"/>
        <v/>
      </c>
      <c r="C2801" s="257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9"/>
      <c r="H2801" s="260"/>
      <c r="I2801" s="260"/>
      <c r="J2801" s="260"/>
      <c r="K2801" s="260"/>
      <c r="L2801" s="262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5"/>
      <c r="AA2801" s="246"/>
    </row>
    <row r="2802" spans="1:27">
      <c r="A2802" s="247"/>
      <c r="B2802" s="83" t="str">
        <f t="shared" si="76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9"/>
      <c r="H2802" s="260"/>
      <c r="I2802" s="260"/>
      <c r="J2802" s="260"/>
      <c r="K2802" s="260"/>
      <c r="L2802" s="262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45"/>
      <c r="AA2802" s="246"/>
    </row>
    <row r="2803" spans="1:27">
      <c r="A2803" s="247"/>
      <c r="B2803" s="83" t="str">
        <f t="shared" si="765"/>
        <v/>
      </c>
      <c r="C2803" s="257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9"/>
      <c r="H2803" s="260"/>
      <c r="I2803" s="260"/>
      <c r="J2803" s="260"/>
      <c r="K2803" s="260"/>
      <c r="L2803" s="262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45"/>
      <c r="AA2803" s="246"/>
    </row>
    <row r="2804" spans="1:27">
      <c r="A2804" s="247"/>
      <c r="B2804" s="83" t="str">
        <f t="shared" si="765"/>
        <v/>
      </c>
      <c r="C2804" s="257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9"/>
      <c r="H2804" s="260"/>
      <c r="I2804" s="260"/>
      <c r="J2804" s="260"/>
      <c r="K2804" s="260"/>
      <c r="L2804" s="262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45"/>
      <c r="AA2804" s="246"/>
    </row>
    <row r="2805" spans="1:27" ht="12" thickBot="1">
      <c r="A2805" s="248"/>
      <c r="B2805" s="83" t="str">
        <f t="shared" si="745"/>
        <v/>
      </c>
      <c r="C2805" s="258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63"/>
      <c r="H2805" s="264"/>
      <c r="I2805" s="264"/>
      <c r="J2805" s="264"/>
      <c r="K2805" s="264"/>
      <c r="L2805" s="265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45"/>
      <c r="AA2805" s="246"/>
    </row>
    <row r="2806" spans="1:27">
      <c r="A2806" s="78" t="s">
        <v>134</v>
      </c>
      <c r="B2806" s="78" t="s">
        <v>134</v>
      </c>
      <c r="C2806" s="78" t="s">
        <v>134</v>
      </c>
      <c r="D2806" s="78" t="s">
        <v>134</v>
      </c>
      <c r="E2806" s="78" t="s">
        <v>134</v>
      </c>
      <c r="F2806" s="78" t="s">
        <v>134</v>
      </c>
      <c r="G2806" s="78" t="s">
        <v>134</v>
      </c>
      <c r="H2806" s="78" t="s">
        <v>134</v>
      </c>
      <c r="I2806" s="78" t="s">
        <v>134</v>
      </c>
      <c r="J2806" s="78" t="s">
        <v>134</v>
      </c>
      <c r="K2806" s="78" t="s">
        <v>134</v>
      </c>
      <c r="L2806" s="78" t="s">
        <v>134</v>
      </c>
      <c r="M2806" s="78" t="s">
        <v>134</v>
      </c>
      <c r="N2806" s="78" t="s">
        <v>134</v>
      </c>
      <c r="O2806" s="78" t="s">
        <v>134</v>
      </c>
      <c r="P2806" s="78" t="s">
        <v>134</v>
      </c>
      <c r="Q2806" s="78" t="s">
        <v>134</v>
      </c>
      <c r="R2806" s="78" t="s">
        <v>134</v>
      </c>
      <c r="S2806" s="78" t="s">
        <v>134</v>
      </c>
      <c r="T2806" s="78" t="s">
        <v>134</v>
      </c>
      <c r="U2806" s="78" t="s">
        <v>134</v>
      </c>
      <c r="V2806" s="78" t="s">
        <v>134</v>
      </c>
      <c r="W2806" s="78" t="s">
        <v>134</v>
      </c>
    </row>
  </sheetData>
  <sheetProtection selectLockedCells="1"/>
  <phoneticPr fontId="4"/>
  <conditionalFormatting sqref="C2572">
    <cfRule type="duplicateValues" dxfId="91" priority="22" stopIfTrue="1"/>
  </conditionalFormatting>
  <conditionalFormatting sqref="C2573">
    <cfRule type="duplicateValues" dxfId="90" priority="21" stopIfTrue="1"/>
  </conditionalFormatting>
  <conditionalFormatting sqref="A2657">
    <cfRule type="expression" dxfId="89" priority="15" stopIfTrue="1">
      <formula>$X2657&gt;30</formula>
    </cfRule>
    <cfRule type="duplicateValues" dxfId="88" priority="16" stopIfTrue="1"/>
  </conditionalFormatting>
  <conditionalFormatting sqref="A2657:A2658">
    <cfRule type="expression" dxfId="87" priority="13" stopIfTrue="1">
      <formula>$X2657&gt;30</formula>
    </cfRule>
    <cfRule type="duplicateValues" dxfId="86" priority="14" stopIfTrue="1"/>
  </conditionalFormatting>
  <conditionalFormatting sqref="A2660">
    <cfRule type="expression" dxfId="85" priority="11" stopIfTrue="1">
      <formula>$X2660&gt;30</formula>
    </cfRule>
    <cfRule type="duplicateValues" dxfId="84" priority="12" stopIfTrue="1"/>
  </conditionalFormatting>
  <conditionalFormatting sqref="A2660:A2661">
    <cfRule type="expression" dxfId="83" priority="9" stopIfTrue="1">
      <formula>$X2660&gt;30</formula>
    </cfRule>
    <cfRule type="duplicateValues" dxfId="82" priority="10" stopIfTrue="1"/>
  </conditionalFormatting>
  <conditionalFormatting sqref="A2654">
    <cfRule type="expression" dxfId="81" priority="7" stopIfTrue="1">
      <formula>$X2654&gt;30</formula>
    </cfRule>
    <cfRule type="duplicateValues" dxfId="80" priority="8" stopIfTrue="1"/>
  </conditionalFormatting>
  <conditionalFormatting sqref="A2693:A2722">
    <cfRule type="expression" dxfId="79" priority="5" stopIfTrue="1">
      <formula>$X2693&gt;30</formula>
    </cfRule>
    <cfRule type="duplicateValues" dxfId="78" priority="6" stopIfTrue="1"/>
  </conditionalFormatting>
  <conditionalFormatting sqref="A2723:A2724">
    <cfRule type="expression" dxfId="77" priority="3" stopIfTrue="1">
      <formula>$X2723&gt;30</formula>
    </cfRule>
    <cfRule type="duplicateValues" dxfId="76" priority="4" stopIfTrue="1"/>
  </conditionalFormatting>
  <conditionalFormatting sqref="A2805:A5189 A1:A2612">
    <cfRule type="expression" dxfId="75" priority="91" stopIfTrue="1">
      <formula>$X1&gt;30</formula>
    </cfRule>
    <cfRule type="duplicateValues" dxfId="74" priority="92" stopIfTrue="1"/>
  </conditionalFormatting>
  <conditionalFormatting sqref="A2731:A2735 A2613:A2653 A2659 A2662:A2675 A2655:A2656">
    <cfRule type="expression" dxfId="73" priority="95" stopIfTrue="1">
      <formula>$X2613&gt;30</formula>
    </cfRule>
    <cfRule type="duplicateValues" dxfId="72" priority="96" stopIfTrue="1"/>
  </conditionalFormatting>
  <conditionalFormatting sqref="A2675:A2692 A2725:A2730">
    <cfRule type="expression" dxfId="71" priority="105" stopIfTrue="1">
      <formula>$X2675&gt;30</formula>
    </cfRule>
    <cfRule type="duplicateValues" dxfId="70" priority="106" stopIfTrue="1"/>
  </conditionalFormatting>
  <conditionalFormatting sqref="A2736:A2804">
    <cfRule type="expression" dxfId="69" priority="1" stopIfTrue="1">
      <formula>$X2736&gt;30</formula>
    </cfRule>
    <cfRule type="duplicateValues" dxfId="68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6251</v>
      </c>
      <c r="B1" s="218" t="s">
        <v>608</v>
      </c>
      <c r="C1" s="218" t="s">
        <v>6250</v>
      </c>
      <c r="D1" s="218" t="s">
        <v>64</v>
      </c>
      <c r="E1" s="222" t="s">
        <v>4657</v>
      </c>
      <c r="F1" s="191" t="s">
        <v>4656</v>
      </c>
    </row>
    <row r="2" spans="1:6" ht="13.5">
      <c r="A2" s="218" t="s">
        <v>6249</v>
      </c>
      <c r="B2" s="217" t="s">
        <v>6040</v>
      </c>
      <c r="C2" s="216"/>
      <c r="D2" s="215"/>
      <c r="E2" s="200"/>
      <c r="F2" s="79"/>
    </row>
    <row r="3" spans="1:6" ht="13.5">
      <c r="A3" s="221" t="s">
        <v>6248</v>
      </c>
      <c r="B3" s="203" t="s">
        <v>6247</v>
      </c>
      <c r="C3" s="200">
        <f>COUNTIF(単語!G:L,単語辞書!A3)</f>
        <v>60</v>
      </c>
      <c r="D3" s="202"/>
      <c r="E3" s="200" t="s">
        <v>379</v>
      </c>
      <c r="F3" s="79"/>
    </row>
    <row r="4" spans="1:6" ht="13.5">
      <c r="A4" s="221" t="s">
        <v>6246</v>
      </c>
      <c r="B4" s="203" t="s">
        <v>6245</v>
      </c>
      <c r="C4" s="200">
        <f>COUNTIF(単語!G:L,単語辞書!A4)</f>
        <v>88</v>
      </c>
      <c r="D4" s="202"/>
      <c r="E4" s="200" t="s">
        <v>379</v>
      </c>
      <c r="F4" s="79"/>
    </row>
    <row r="5" spans="1:6" ht="13.5">
      <c r="A5" s="221" t="s">
        <v>6244</v>
      </c>
      <c r="B5" s="203" t="s">
        <v>6243</v>
      </c>
      <c r="C5" s="200">
        <f>COUNTIF(単語!G:L,単語辞書!A5)</f>
        <v>2</v>
      </c>
      <c r="D5" s="202"/>
      <c r="E5" s="200" t="s">
        <v>379</v>
      </c>
      <c r="F5" s="79"/>
    </row>
    <row r="6" spans="1:6" ht="13.5">
      <c r="A6" s="203" t="s">
        <v>6242</v>
      </c>
      <c r="B6" s="203" t="s">
        <v>6239</v>
      </c>
      <c r="C6" s="200">
        <f>COUNTIF(単語!G:L,単語辞書!A6)</f>
        <v>5</v>
      </c>
      <c r="D6" s="202"/>
      <c r="E6" s="200" t="s">
        <v>379</v>
      </c>
      <c r="F6" s="79"/>
    </row>
    <row r="7" spans="1:6" ht="13.5">
      <c r="A7" s="203" t="s">
        <v>4370</v>
      </c>
      <c r="B7" s="203" t="s">
        <v>6239</v>
      </c>
      <c r="C7" s="200">
        <f>COUNTIF(単語!G:L,単語辞書!A7)</f>
        <v>6</v>
      </c>
      <c r="D7" s="202"/>
      <c r="E7" s="200" t="s">
        <v>379</v>
      </c>
      <c r="F7" s="79"/>
    </row>
    <row r="8" spans="1:6" ht="13.5">
      <c r="A8" s="203" t="s">
        <v>6241</v>
      </c>
      <c r="B8" s="203" t="s">
        <v>6239</v>
      </c>
      <c r="C8" s="200">
        <f>COUNTIF(単語!G:L,単語辞書!A8)</f>
        <v>0</v>
      </c>
      <c r="D8" s="202"/>
      <c r="E8" s="200" t="s">
        <v>379</v>
      </c>
      <c r="F8" s="79"/>
    </row>
    <row r="9" spans="1:6" ht="13.5">
      <c r="A9" s="203" t="s">
        <v>6240</v>
      </c>
      <c r="B9" s="203" t="s">
        <v>6239</v>
      </c>
      <c r="C9" s="200">
        <f>COUNTIF(単語!G:L,単語辞書!A9)</f>
        <v>0</v>
      </c>
      <c r="D9" s="202"/>
      <c r="E9" s="200" t="s">
        <v>379</v>
      </c>
      <c r="F9" s="79"/>
    </row>
    <row r="10" spans="1:6" ht="13.5">
      <c r="A10" s="203" t="s">
        <v>6238</v>
      </c>
      <c r="B10" s="203" t="s">
        <v>6237</v>
      </c>
      <c r="C10" s="200">
        <f>COUNTIF(単語!G:L,単語辞書!A10)</f>
        <v>4</v>
      </c>
      <c r="D10" s="202"/>
      <c r="E10" s="200" t="s">
        <v>379</v>
      </c>
      <c r="F10" s="79"/>
    </row>
    <row r="11" spans="1:6" ht="13.5">
      <c r="A11" s="203" t="s">
        <v>6236</v>
      </c>
      <c r="B11" s="203" t="s">
        <v>6235</v>
      </c>
      <c r="C11" s="200">
        <f>COUNTIF(単語!G:L,単語辞書!A11)</f>
        <v>76</v>
      </c>
      <c r="D11" s="202"/>
      <c r="E11" s="200" t="s">
        <v>379</v>
      </c>
      <c r="F11" s="79"/>
    </row>
    <row r="12" spans="1:6" ht="13.5">
      <c r="A12" s="203" t="s">
        <v>6234</v>
      </c>
      <c r="B12" s="203" t="s">
        <v>6233</v>
      </c>
      <c r="C12" s="200">
        <f>COUNTIF(単語!G:L,単語辞書!A12)</f>
        <v>14</v>
      </c>
      <c r="D12" s="202" t="s">
        <v>6232</v>
      </c>
      <c r="E12" s="200" t="s">
        <v>379</v>
      </c>
      <c r="F12" s="79"/>
    </row>
    <row r="13" spans="1:6" ht="13.5">
      <c r="A13" s="203" t="s">
        <v>6231</v>
      </c>
      <c r="B13" s="203" t="s">
        <v>6230</v>
      </c>
      <c r="C13" s="200">
        <f>COUNTIF(単語!G:L,単語辞書!A13)</f>
        <v>14</v>
      </c>
      <c r="D13" s="202" t="s">
        <v>6229</v>
      </c>
      <c r="E13" s="200" t="s">
        <v>379</v>
      </c>
      <c r="F13" s="79"/>
    </row>
    <row r="14" spans="1:6" ht="13.5">
      <c r="A14" s="203" t="s">
        <v>3710</v>
      </c>
      <c r="B14" s="203" t="s">
        <v>6228</v>
      </c>
      <c r="C14" s="200">
        <f>COUNTIF(単語!G:L,単語辞書!A14)</f>
        <v>2</v>
      </c>
      <c r="D14" s="202"/>
      <c r="E14" s="200" t="s">
        <v>379</v>
      </c>
      <c r="F14" s="79"/>
    </row>
    <row r="15" spans="1:6" ht="13.5">
      <c r="A15" s="203" t="s">
        <v>6227</v>
      </c>
      <c r="B15" s="203" t="s">
        <v>6226</v>
      </c>
      <c r="C15" s="200">
        <f>COUNTIF(単語!G:L,単語辞書!A15)</f>
        <v>39</v>
      </c>
      <c r="D15" s="202"/>
      <c r="E15" s="200" t="s">
        <v>379</v>
      </c>
      <c r="F15" s="79"/>
    </row>
    <row r="16" spans="1:6" ht="13.5">
      <c r="A16" s="203" t="s">
        <v>205</v>
      </c>
      <c r="B16" s="203" t="s">
        <v>6225</v>
      </c>
      <c r="C16" s="200">
        <f>COUNTIF(単語!G:L,単語辞書!A16)</f>
        <v>59</v>
      </c>
      <c r="D16" s="202"/>
      <c r="E16" s="200" t="s">
        <v>379</v>
      </c>
      <c r="F16" s="79"/>
    </row>
    <row r="17" spans="1:6" ht="13.5">
      <c r="A17" s="203" t="s">
        <v>1123</v>
      </c>
      <c r="B17" s="203" t="s">
        <v>6224</v>
      </c>
      <c r="C17" s="200">
        <f>COUNTIF(単語!G:L,単語辞書!A17)</f>
        <v>59</v>
      </c>
      <c r="D17" s="202" t="s">
        <v>6223</v>
      </c>
      <c r="E17" s="200" t="s">
        <v>379</v>
      </c>
      <c r="F17" s="79"/>
    </row>
    <row r="18" spans="1:6" ht="13.5">
      <c r="A18" s="203" t="s">
        <v>2328</v>
      </c>
      <c r="B18" s="203" t="s">
        <v>6222</v>
      </c>
      <c r="C18" s="200">
        <f>COUNTIF(単語!G:L,単語辞書!A18)</f>
        <v>8</v>
      </c>
      <c r="D18" s="202"/>
      <c r="E18" s="200" t="s">
        <v>379</v>
      </c>
      <c r="F18" s="79"/>
    </row>
    <row r="19" spans="1:6" ht="13.5">
      <c r="A19" s="203" t="s">
        <v>1174</v>
      </c>
      <c r="B19" s="203" t="s">
        <v>6221</v>
      </c>
      <c r="C19" s="200">
        <f>COUNTIF(単語!G:L,単語辞書!A19)</f>
        <v>14</v>
      </c>
      <c r="D19" s="202"/>
      <c r="E19" s="200" t="s">
        <v>379</v>
      </c>
      <c r="F19" s="79"/>
    </row>
    <row r="20" spans="1:6" ht="13.5">
      <c r="A20" s="203" t="s">
        <v>6220</v>
      </c>
      <c r="B20" s="203" t="s">
        <v>6219</v>
      </c>
      <c r="C20" s="200">
        <f>COUNTIF(単語!G:L,単語辞書!A20)</f>
        <v>8</v>
      </c>
      <c r="D20" s="202"/>
      <c r="E20" s="200" t="s">
        <v>379</v>
      </c>
      <c r="F20" s="79"/>
    </row>
    <row r="21" spans="1:6" ht="13.5">
      <c r="A21" s="203" t="s">
        <v>1891</v>
      </c>
      <c r="B21" s="203" t="s">
        <v>6218</v>
      </c>
      <c r="C21" s="200">
        <f>COUNTIF(単語!G:L,単語辞書!A21)</f>
        <v>22</v>
      </c>
      <c r="D21" s="202"/>
      <c r="E21" s="200" t="s">
        <v>379</v>
      </c>
      <c r="F21" s="79"/>
    </row>
    <row r="22" spans="1:6" ht="13.5">
      <c r="A22" s="203" t="s">
        <v>3443</v>
      </c>
      <c r="B22" s="203" t="s">
        <v>6217</v>
      </c>
      <c r="C22" s="200">
        <f>COUNTIF(単語!G:L,単語辞書!A22)</f>
        <v>6</v>
      </c>
      <c r="D22" s="202"/>
      <c r="E22" s="200" t="s">
        <v>379</v>
      </c>
      <c r="F22" s="79"/>
    </row>
    <row r="23" spans="1:6" ht="13.5">
      <c r="A23" s="203" t="s">
        <v>6216</v>
      </c>
      <c r="B23" s="203" t="s">
        <v>6215</v>
      </c>
      <c r="C23" s="200">
        <f>COUNTIF(単語!G:L,単語辞書!A23)</f>
        <v>2</v>
      </c>
      <c r="D23" s="202"/>
      <c r="E23" s="200" t="s">
        <v>379</v>
      </c>
      <c r="F23" s="79"/>
    </row>
    <row r="24" spans="1:6" ht="13.5">
      <c r="A24" s="203" t="s">
        <v>6214</v>
      </c>
      <c r="B24" s="203" t="s">
        <v>6213</v>
      </c>
      <c r="C24" s="200">
        <f>COUNTIF(単語!G:L,単語辞書!A24)</f>
        <v>1</v>
      </c>
      <c r="D24" s="202"/>
      <c r="E24" s="200" t="s">
        <v>379</v>
      </c>
      <c r="F24" s="79"/>
    </row>
    <row r="25" spans="1:6" ht="13.5">
      <c r="A25" s="203" t="s">
        <v>2430</v>
      </c>
      <c r="B25" s="203" t="s">
        <v>6212</v>
      </c>
      <c r="C25" s="200">
        <f>COUNTIF(単語!G:L,単語辞書!A25)</f>
        <v>26</v>
      </c>
      <c r="D25" s="202"/>
      <c r="E25" s="200" t="s">
        <v>379</v>
      </c>
      <c r="F25" s="79"/>
    </row>
    <row r="26" spans="1:6" ht="13.5">
      <c r="A26" s="203" t="s">
        <v>2446</v>
      </c>
      <c r="B26" s="203" t="s">
        <v>6211</v>
      </c>
      <c r="C26" s="200">
        <f>COUNTIF(単語!G:L,単語辞書!A26)</f>
        <v>18</v>
      </c>
      <c r="D26" s="202"/>
      <c r="E26" s="200" t="s">
        <v>379</v>
      </c>
      <c r="F26" s="79"/>
    </row>
    <row r="27" spans="1:6" ht="13.5">
      <c r="A27" s="203" t="s">
        <v>3361</v>
      </c>
      <c r="B27" s="203" t="s">
        <v>6210</v>
      </c>
      <c r="C27" s="200">
        <f>COUNTIF(単語!G:L,単語辞書!A27)</f>
        <v>16</v>
      </c>
      <c r="D27" s="202"/>
      <c r="E27" s="200" t="s">
        <v>379</v>
      </c>
      <c r="F27" s="79"/>
    </row>
    <row r="28" spans="1:6" ht="13.5">
      <c r="A28" s="203" t="s">
        <v>294</v>
      </c>
      <c r="B28" s="203" t="s">
        <v>6209</v>
      </c>
      <c r="C28" s="200">
        <f>COUNTIF(単語!G:L,単語辞書!A28)</f>
        <v>18</v>
      </c>
      <c r="D28" s="202"/>
      <c r="E28" s="200" t="s">
        <v>379</v>
      </c>
      <c r="F28" s="79"/>
    </row>
    <row r="29" spans="1:6" ht="13.5">
      <c r="A29" s="203" t="s">
        <v>6208</v>
      </c>
      <c r="B29" s="203" t="s">
        <v>6207</v>
      </c>
      <c r="C29" s="200">
        <f>COUNTIF(単語!G:L,単語辞書!A29)</f>
        <v>1</v>
      </c>
      <c r="D29" s="202"/>
      <c r="E29" s="200" t="s">
        <v>379</v>
      </c>
      <c r="F29" s="79"/>
    </row>
    <row r="30" spans="1:6" ht="13.5">
      <c r="A30" s="203" t="s">
        <v>4218</v>
      </c>
      <c r="B30" s="203" t="s">
        <v>6206</v>
      </c>
      <c r="C30" s="200">
        <f>COUNTIF(単語!G:L,単語辞書!A30)</f>
        <v>9</v>
      </c>
      <c r="D30" s="202"/>
      <c r="E30" s="200" t="s">
        <v>379</v>
      </c>
      <c r="F30" s="79"/>
    </row>
    <row r="31" spans="1:6" ht="13.5">
      <c r="A31" s="203" t="s">
        <v>2578</v>
      </c>
      <c r="B31" s="203" t="s">
        <v>6205</v>
      </c>
      <c r="C31" s="200">
        <f>COUNTIF(単語!G:L,単語辞書!A31)</f>
        <v>9</v>
      </c>
      <c r="D31" s="202"/>
      <c r="E31" s="200" t="s">
        <v>379</v>
      </c>
      <c r="F31" s="79"/>
    </row>
    <row r="32" spans="1:6" ht="13.5">
      <c r="A32" s="203" t="s">
        <v>4032</v>
      </c>
      <c r="B32" s="203" t="s">
        <v>6204</v>
      </c>
      <c r="C32" s="200">
        <f>COUNTIF(単語!G:L,単語辞書!A32)</f>
        <v>5</v>
      </c>
      <c r="D32" s="202"/>
      <c r="E32" s="200" t="s">
        <v>379</v>
      </c>
      <c r="F32" s="79"/>
    </row>
    <row r="33" spans="1:6" ht="13.5">
      <c r="A33" s="203" t="s">
        <v>837</v>
      </c>
      <c r="B33" s="203" t="s">
        <v>6203</v>
      </c>
      <c r="C33" s="200">
        <f>COUNTIF(単語!G:L,単語辞書!A33)</f>
        <v>19</v>
      </c>
      <c r="D33" s="202"/>
      <c r="E33" s="200" t="s">
        <v>379</v>
      </c>
      <c r="F33" s="79"/>
    </row>
    <row r="34" spans="1:6" ht="13.5">
      <c r="A34" s="203" t="s">
        <v>2460</v>
      </c>
      <c r="B34" s="203" t="s">
        <v>6202</v>
      </c>
      <c r="C34" s="200">
        <f>COUNTIF(単語!G:L,単語辞書!A34)</f>
        <v>3</v>
      </c>
      <c r="D34" s="202"/>
      <c r="E34" s="200" t="s">
        <v>379</v>
      </c>
      <c r="F34" s="79"/>
    </row>
    <row r="35" spans="1:6" ht="13.5">
      <c r="A35" s="203" t="s">
        <v>6201</v>
      </c>
      <c r="B35" s="203" t="s">
        <v>6059</v>
      </c>
      <c r="C35" s="200">
        <f>COUNTIF(単語!G:L,単語辞書!A35)</f>
        <v>5</v>
      </c>
      <c r="D35" s="202"/>
      <c r="E35" s="200" t="s">
        <v>379</v>
      </c>
      <c r="F35" s="79"/>
    </row>
    <row r="36" spans="1:6" ht="13.5">
      <c r="A36" s="203" t="s">
        <v>6200</v>
      </c>
      <c r="B36" s="203" t="s">
        <v>6131</v>
      </c>
      <c r="C36" s="200">
        <f>COUNTIF(単語!G:L,単語辞書!A36)</f>
        <v>16</v>
      </c>
      <c r="D36" s="202"/>
      <c r="E36" s="200" t="s">
        <v>379</v>
      </c>
      <c r="F36" s="79"/>
    </row>
    <row r="37" spans="1:6" ht="13.5">
      <c r="A37" s="203" t="s">
        <v>6199</v>
      </c>
      <c r="B37" s="203" t="s">
        <v>6198</v>
      </c>
      <c r="C37" s="200">
        <f>COUNTIF(単語!G:L,単語辞書!A37)</f>
        <v>1</v>
      </c>
      <c r="D37" s="202"/>
      <c r="E37" s="200" t="s">
        <v>379</v>
      </c>
      <c r="F37" s="79"/>
    </row>
    <row r="38" spans="1:6" ht="13.5">
      <c r="A38" s="218" t="s">
        <v>6197</v>
      </c>
      <c r="B38" s="217" t="s">
        <v>6040</v>
      </c>
      <c r="C38" s="216"/>
      <c r="D38" s="215"/>
      <c r="E38" s="200"/>
      <c r="F38" s="79"/>
    </row>
    <row r="39" spans="1:6" ht="13.5">
      <c r="A39" s="203" t="s">
        <v>6196</v>
      </c>
      <c r="B39" s="203" t="s">
        <v>6195</v>
      </c>
      <c r="C39" s="200">
        <f>COUNTIF(単語!G:L,単語辞書!A39)</f>
        <v>28</v>
      </c>
      <c r="D39" s="202"/>
      <c r="E39" s="200" t="s">
        <v>379</v>
      </c>
      <c r="F39" s="79"/>
    </row>
    <row r="40" spans="1:6" ht="13.5">
      <c r="A40" s="203" t="s">
        <v>6194</v>
      </c>
      <c r="B40" s="203" t="s">
        <v>6193</v>
      </c>
      <c r="C40" s="200">
        <f>COUNTIF(単語!G:L,単語辞書!A40)</f>
        <v>1</v>
      </c>
      <c r="D40" s="202"/>
      <c r="E40" s="200" t="s">
        <v>379</v>
      </c>
      <c r="F40" s="79"/>
    </row>
    <row r="41" spans="1:6" ht="13.5">
      <c r="A41" s="203" t="s">
        <v>6192</v>
      </c>
      <c r="B41" s="203" t="s">
        <v>6191</v>
      </c>
      <c r="C41" s="200">
        <f>COUNTIF(単語!G:L,単語辞書!A41)</f>
        <v>11</v>
      </c>
      <c r="D41" s="202"/>
      <c r="E41" s="200" t="s">
        <v>379</v>
      </c>
      <c r="F41" s="79"/>
    </row>
    <row r="42" spans="1:6" ht="13.5">
      <c r="A42" s="203" t="s">
        <v>6190</v>
      </c>
      <c r="B42" s="203" t="s">
        <v>6189</v>
      </c>
      <c r="C42" s="200">
        <f>COUNTIF(単語!G:L,単語辞書!A42)</f>
        <v>8</v>
      </c>
      <c r="D42" s="202"/>
      <c r="E42" s="200" t="s">
        <v>379</v>
      </c>
      <c r="F42" s="79"/>
    </row>
    <row r="43" spans="1:6" ht="13.5">
      <c r="A43" s="203" t="s">
        <v>6188</v>
      </c>
      <c r="B43" s="203" t="s">
        <v>6187</v>
      </c>
      <c r="C43" s="200">
        <f>COUNTIF(単語!G:L,単語辞書!A43)</f>
        <v>45</v>
      </c>
      <c r="D43" s="202"/>
      <c r="E43" s="200" t="s">
        <v>379</v>
      </c>
      <c r="F43" s="79"/>
    </row>
    <row r="44" spans="1:6" ht="13.5">
      <c r="A44" s="203" t="s">
        <v>6186</v>
      </c>
      <c r="B44" s="203" t="s">
        <v>6185</v>
      </c>
      <c r="C44" s="200">
        <f>COUNTIF(単語!G:L,単語辞書!A44)</f>
        <v>0</v>
      </c>
      <c r="D44" s="202"/>
      <c r="E44" s="200" t="s">
        <v>379</v>
      </c>
      <c r="F44" s="79"/>
    </row>
    <row r="45" spans="1:6" ht="13.5">
      <c r="A45" s="203" t="s">
        <v>6184</v>
      </c>
      <c r="B45" s="220" t="s">
        <v>6183</v>
      </c>
      <c r="C45" s="200">
        <f>COUNTIF(単語!G:L,単語辞書!A45)</f>
        <v>1</v>
      </c>
      <c r="D45" s="202"/>
      <c r="E45" s="200" t="s">
        <v>379</v>
      </c>
      <c r="F45" s="79"/>
    </row>
    <row r="46" spans="1:6" ht="13.5">
      <c r="A46" s="203" t="s">
        <v>6182</v>
      </c>
      <c r="B46" s="220" t="s">
        <v>6181</v>
      </c>
      <c r="C46" s="200">
        <f>COUNTIF(単語!G:L,単語辞書!A46)</f>
        <v>2</v>
      </c>
      <c r="D46" s="202"/>
      <c r="E46" s="200" t="s">
        <v>379</v>
      </c>
      <c r="F46" s="79"/>
    </row>
    <row r="47" spans="1:6" ht="13.5">
      <c r="A47" s="203" t="s">
        <v>656</v>
      </c>
      <c r="B47" s="220" t="s">
        <v>6180</v>
      </c>
      <c r="C47" s="200">
        <f>COUNTIF(単語!G:L,単語辞書!A47)</f>
        <v>21</v>
      </c>
      <c r="D47" s="202"/>
      <c r="E47" s="200" t="s">
        <v>379</v>
      </c>
      <c r="F47" s="79"/>
    </row>
    <row r="48" spans="1:6" ht="13.5">
      <c r="A48" s="203" t="s">
        <v>900</v>
      </c>
      <c r="B48" s="220" t="s">
        <v>6179</v>
      </c>
      <c r="C48" s="200">
        <f>COUNTIF(単語!G:L,単語辞書!A48)</f>
        <v>5</v>
      </c>
      <c r="D48" s="202"/>
      <c r="E48" s="200" t="s">
        <v>379</v>
      </c>
      <c r="F48" s="79"/>
    </row>
    <row r="49" spans="1:6" ht="13.5">
      <c r="A49" s="219" t="s">
        <v>6178</v>
      </c>
      <c r="B49" s="220" t="s">
        <v>6177</v>
      </c>
      <c r="C49" s="200">
        <f>COUNTIF(単語!G:L,単語辞書!A49)</f>
        <v>2</v>
      </c>
      <c r="D49" s="202"/>
      <c r="E49" s="200" t="s">
        <v>379</v>
      </c>
      <c r="F49" s="79"/>
    </row>
    <row r="50" spans="1:6" ht="13.5">
      <c r="A50" s="219" t="s">
        <v>6176</v>
      </c>
      <c r="B50" s="220" t="s">
        <v>6175</v>
      </c>
      <c r="C50" s="200">
        <f>COUNTIF(単語!G:L,単語辞書!A50)</f>
        <v>1</v>
      </c>
      <c r="D50" s="202"/>
      <c r="E50" s="200" t="s">
        <v>379</v>
      </c>
      <c r="F50" s="79"/>
    </row>
    <row r="51" spans="1:6" ht="13.5">
      <c r="A51" s="219" t="s">
        <v>6174</v>
      </c>
      <c r="B51" s="220" t="s">
        <v>6173</v>
      </c>
      <c r="C51" s="200">
        <f>COUNTIF(単語!G:L,単語辞書!A51)</f>
        <v>1</v>
      </c>
      <c r="D51" s="202"/>
      <c r="E51" s="200" t="s">
        <v>379</v>
      </c>
      <c r="F51" s="79"/>
    </row>
    <row r="52" spans="1:6" ht="13.5">
      <c r="A52" s="203" t="s">
        <v>4111</v>
      </c>
      <c r="B52" s="220" t="s">
        <v>6172</v>
      </c>
      <c r="C52" s="200">
        <f>COUNTIF(単語!G:L,単語辞書!A52)</f>
        <v>1</v>
      </c>
      <c r="D52" s="202"/>
      <c r="E52" s="200" t="s">
        <v>379</v>
      </c>
      <c r="F52" s="79"/>
    </row>
    <row r="53" spans="1:6" ht="13.5">
      <c r="A53" s="203" t="s">
        <v>4564</v>
      </c>
      <c r="B53" s="220" t="s">
        <v>6171</v>
      </c>
      <c r="C53" s="200">
        <f>COUNTIF(単語!G:L,単語辞書!A53)</f>
        <v>4</v>
      </c>
      <c r="D53" s="202"/>
      <c r="E53" s="200" t="s">
        <v>379</v>
      </c>
      <c r="F53" s="79"/>
    </row>
    <row r="54" spans="1:6" ht="13.5">
      <c r="A54" s="203" t="s">
        <v>4026</v>
      </c>
      <c r="B54" s="220" t="s">
        <v>4983</v>
      </c>
      <c r="C54" s="200">
        <f>COUNTIF(単語!G:L,単語辞書!A54)</f>
        <v>6</v>
      </c>
      <c r="D54" s="202"/>
      <c r="E54" s="200" t="s">
        <v>379</v>
      </c>
      <c r="F54" s="79"/>
    </row>
    <row r="55" spans="1:6" ht="13.5">
      <c r="A55" s="203" t="s">
        <v>3125</v>
      </c>
      <c r="B55" s="220" t="s">
        <v>6170</v>
      </c>
      <c r="C55" s="200">
        <f>COUNTIF(単語!G:L,単語辞書!A55)</f>
        <v>3</v>
      </c>
      <c r="D55" s="202"/>
      <c r="E55" s="200" t="s">
        <v>379</v>
      </c>
      <c r="F55" s="79"/>
    </row>
    <row r="56" spans="1:6" ht="13.5">
      <c r="A56" s="203" t="s">
        <v>3023</v>
      </c>
      <c r="B56" s="220" t="s">
        <v>5978</v>
      </c>
      <c r="C56" s="200">
        <f>COUNTIF(単語!G:L,単語辞書!A56)</f>
        <v>6</v>
      </c>
      <c r="D56" s="202"/>
      <c r="E56" s="200" t="s">
        <v>379</v>
      </c>
      <c r="F56" s="79"/>
    </row>
    <row r="57" spans="1:6" ht="13.5">
      <c r="A57" s="203" t="s">
        <v>836</v>
      </c>
      <c r="B57" s="220" t="s">
        <v>6169</v>
      </c>
      <c r="C57" s="200">
        <f>COUNTIF(単語!G:L,単語辞書!A57)</f>
        <v>3</v>
      </c>
      <c r="D57" s="202"/>
      <c r="E57" s="200" t="s">
        <v>379</v>
      </c>
      <c r="F57" s="79"/>
    </row>
    <row r="58" spans="1:6" ht="13.5">
      <c r="A58" s="203" t="s">
        <v>849</v>
      </c>
      <c r="B58" s="220" t="s">
        <v>6168</v>
      </c>
      <c r="C58" s="200">
        <f>COUNTIF(単語!G:L,単語辞書!A58)</f>
        <v>9</v>
      </c>
      <c r="D58" s="202"/>
      <c r="E58" s="200" t="s">
        <v>379</v>
      </c>
      <c r="F58" s="79"/>
    </row>
    <row r="59" spans="1:6" ht="13.5">
      <c r="A59" s="203" t="s">
        <v>4126</v>
      </c>
      <c r="B59" s="203" t="s">
        <v>6167</v>
      </c>
      <c r="C59" s="200">
        <f>COUNTIF(単語!G:L,単語辞書!A59)</f>
        <v>2</v>
      </c>
      <c r="D59" s="202"/>
      <c r="E59" s="200" t="s">
        <v>379</v>
      </c>
      <c r="F59" s="79"/>
    </row>
    <row r="60" spans="1:6" ht="13.5">
      <c r="A60" s="203" t="s">
        <v>3605</v>
      </c>
      <c r="B60" s="203" t="s">
        <v>6166</v>
      </c>
      <c r="C60" s="200">
        <f>COUNTIF(単語!G:L,単語辞書!A60)</f>
        <v>3</v>
      </c>
      <c r="D60" s="202"/>
      <c r="E60" s="200" t="s">
        <v>379</v>
      </c>
      <c r="F60" s="79"/>
    </row>
    <row r="61" spans="1:6" ht="13.5">
      <c r="A61" s="203" t="s">
        <v>3520</v>
      </c>
      <c r="B61" s="203" t="s">
        <v>6165</v>
      </c>
      <c r="C61" s="200">
        <f>COUNTIF(単語!G:L,単語辞書!A61)</f>
        <v>11</v>
      </c>
      <c r="D61" s="202"/>
      <c r="E61" s="200" t="s">
        <v>379</v>
      </c>
      <c r="F61" s="79"/>
    </row>
    <row r="62" spans="1:6" ht="13.5">
      <c r="A62" s="203" t="s">
        <v>6164</v>
      </c>
      <c r="B62" s="203" t="s">
        <v>6163</v>
      </c>
      <c r="C62" s="200">
        <f>COUNTIF(単語!G:L,単語辞書!A62)</f>
        <v>2</v>
      </c>
      <c r="D62" s="202"/>
      <c r="E62" s="200" t="s">
        <v>379</v>
      </c>
      <c r="F62" s="79"/>
    </row>
    <row r="63" spans="1:6" ht="13.5">
      <c r="A63" s="203" t="s">
        <v>4207</v>
      </c>
      <c r="B63" s="203" t="s">
        <v>6162</v>
      </c>
      <c r="C63" s="200">
        <f>COUNTIF(単語!G:L,単語辞書!A63)</f>
        <v>1</v>
      </c>
      <c r="D63" s="202"/>
      <c r="E63" s="200" t="s">
        <v>379</v>
      </c>
      <c r="F63" s="79"/>
    </row>
    <row r="64" spans="1:6" ht="13.5">
      <c r="A64" s="203" t="s">
        <v>2753</v>
      </c>
      <c r="B64" s="203" t="s">
        <v>6161</v>
      </c>
      <c r="C64" s="200">
        <f>COUNTIF(単語!G:L,単語辞書!A64)</f>
        <v>6</v>
      </c>
      <c r="D64" s="202"/>
      <c r="E64" s="200" t="s">
        <v>379</v>
      </c>
      <c r="F64" s="79"/>
    </row>
    <row r="65" spans="1:6" ht="13.5">
      <c r="A65" s="203" t="s">
        <v>4000</v>
      </c>
      <c r="B65" s="203" t="s">
        <v>6160</v>
      </c>
      <c r="C65" s="200">
        <f>COUNTIF(単語!G:L,単語辞書!A65)</f>
        <v>1</v>
      </c>
      <c r="D65" s="202"/>
      <c r="E65" s="200" t="s">
        <v>379</v>
      </c>
      <c r="F65" s="79"/>
    </row>
    <row r="66" spans="1:6" ht="13.5">
      <c r="A66" s="203" t="s">
        <v>2555</v>
      </c>
      <c r="B66" s="203" t="s">
        <v>6159</v>
      </c>
      <c r="C66" s="200">
        <f>COUNTIF(単語!G:L,単語辞書!A66)</f>
        <v>3</v>
      </c>
      <c r="D66" s="202"/>
      <c r="E66" s="200" t="s">
        <v>379</v>
      </c>
      <c r="F66" s="79"/>
    </row>
    <row r="67" spans="1:6" ht="13.5">
      <c r="A67" s="203" t="s">
        <v>679</v>
      </c>
      <c r="B67" s="203" t="s">
        <v>6158</v>
      </c>
      <c r="C67" s="200">
        <f>COUNTIF(単語!G:L,単語辞書!A67)</f>
        <v>3</v>
      </c>
      <c r="D67" s="202"/>
      <c r="E67" s="200" t="s">
        <v>379</v>
      </c>
      <c r="F67" s="79"/>
    </row>
    <row r="68" spans="1:6" ht="13.5">
      <c r="A68" s="203" t="s">
        <v>299</v>
      </c>
      <c r="B68" s="203" t="s">
        <v>6157</v>
      </c>
      <c r="C68" s="200">
        <f>COUNTIF(単語!G:L,単語辞書!A68)</f>
        <v>16</v>
      </c>
      <c r="D68" s="202"/>
      <c r="E68" s="200" t="s">
        <v>379</v>
      </c>
      <c r="F68" s="79"/>
    </row>
    <row r="69" spans="1:6" ht="13.5">
      <c r="A69" s="203" t="s">
        <v>3493</v>
      </c>
      <c r="B69" s="203" t="s">
        <v>6156</v>
      </c>
      <c r="C69" s="200">
        <f>COUNTIF(単語!G:L,単語辞書!A69)</f>
        <v>3</v>
      </c>
      <c r="D69" s="202"/>
      <c r="E69" s="200" t="s">
        <v>379</v>
      </c>
      <c r="F69" s="79"/>
    </row>
    <row r="70" spans="1:6" ht="13.5">
      <c r="A70" s="203" t="s">
        <v>3362</v>
      </c>
      <c r="B70" s="203" t="s">
        <v>6155</v>
      </c>
      <c r="C70" s="200">
        <f>COUNTIF(単語!G:L,単語辞書!A70)</f>
        <v>4</v>
      </c>
      <c r="D70" s="202"/>
      <c r="E70" s="200" t="s">
        <v>379</v>
      </c>
      <c r="F70" s="79"/>
    </row>
    <row r="71" spans="1:6" ht="13.5">
      <c r="A71" s="203" t="s">
        <v>6154</v>
      </c>
      <c r="B71" s="220" t="s">
        <v>6153</v>
      </c>
      <c r="C71" s="200">
        <f>COUNTIF(単語!G:L,単語辞書!A71)</f>
        <v>1</v>
      </c>
      <c r="D71" s="202"/>
      <c r="E71" s="200" t="s">
        <v>379</v>
      </c>
      <c r="F71" s="79"/>
    </row>
    <row r="72" spans="1:6" ht="13.5">
      <c r="A72" s="203" t="s">
        <v>6152</v>
      </c>
      <c r="B72" s="220" t="s">
        <v>6151</v>
      </c>
      <c r="C72" s="200">
        <f>COUNTIF(単語!G:L,単語辞書!A72)</f>
        <v>1</v>
      </c>
      <c r="D72" s="202"/>
      <c r="E72" s="200" t="s">
        <v>379</v>
      </c>
      <c r="F72" s="79"/>
    </row>
    <row r="73" spans="1:6" ht="13.5">
      <c r="A73" s="203" t="s">
        <v>2821</v>
      </c>
      <c r="B73" s="220" t="s">
        <v>5435</v>
      </c>
      <c r="C73" s="200">
        <f>COUNTIF(単語!G:L,単語辞書!A73)</f>
        <v>1</v>
      </c>
      <c r="D73" s="202"/>
      <c r="E73" s="200" t="s">
        <v>379</v>
      </c>
      <c r="F73" s="79"/>
    </row>
    <row r="74" spans="1:6" ht="13.5">
      <c r="A74" s="203" t="s">
        <v>1336</v>
      </c>
      <c r="B74" s="220" t="s">
        <v>6150</v>
      </c>
      <c r="C74" s="200">
        <f>COUNTIF(単語!G:L,単語辞書!A74)</f>
        <v>5</v>
      </c>
      <c r="D74" s="202"/>
      <c r="E74" s="200" t="s">
        <v>379</v>
      </c>
      <c r="F74" s="79"/>
    </row>
    <row r="75" spans="1:6" ht="13.5">
      <c r="A75" s="203" t="s">
        <v>3525</v>
      </c>
      <c r="B75" s="220" t="s">
        <v>6149</v>
      </c>
      <c r="C75" s="200">
        <f>COUNTIF(単語!G:L,単語辞書!A75)</f>
        <v>51</v>
      </c>
      <c r="D75" s="202"/>
      <c r="E75" s="200" t="s">
        <v>379</v>
      </c>
      <c r="F75" s="79"/>
    </row>
    <row r="76" spans="1:6" ht="13.5">
      <c r="A76" s="203" t="s">
        <v>637</v>
      </c>
      <c r="B76" s="220" t="s">
        <v>5184</v>
      </c>
      <c r="C76" s="200">
        <f>COUNTIF(単語!G:L,単語辞書!A76)</f>
        <v>19</v>
      </c>
      <c r="D76" s="202"/>
      <c r="E76" s="200" t="s">
        <v>379</v>
      </c>
      <c r="F76" s="79"/>
    </row>
    <row r="77" spans="1:6" ht="13.5">
      <c r="A77" s="203" t="s">
        <v>2480</v>
      </c>
      <c r="B77" s="220" t="s">
        <v>6148</v>
      </c>
      <c r="C77" s="200">
        <f>COUNTIF(単語!G:L,単語辞書!A77)</f>
        <v>8</v>
      </c>
      <c r="D77" s="202"/>
      <c r="E77" s="200" t="s">
        <v>379</v>
      </c>
      <c r="F77" s="79"/>
    </row>
    <row r="78" spans="1:6" ht="13.5">
      <c r="A78" s="203" t="s">
        <v>6147</v>
      </c>
      <c r="B78" s="220" t="s">
        <v>6146</v>
      </c>
      <c r="C78" s="200">
        <f>COUNTIF(単語!G:L,単語辞書!A78)</f>
        <v>0</v>
      </c>
      <c r="D78" s="202"/>
      <c r="E78" s="200" t="s">
        <v>379</v>
      </c>
      <c r="F78" s="79"/>
    </row>
    <row r="79" spans="1:6" ht="13.5">
      <c r="A79" s="203" t="s">
        <v>2299</v>
      </c>
      <c r="B79" s="220" t="s">
        <v>6145</v>
      </c>
      <c r="C79" s="200">
        <f>COUNTIF(単語!G:L,単語辞書!A79)</f>
        <v>8</v>
      </c>
      <c r="D79" s="202"/>
      <c r="E79" s="200" t="s">
        <v>379</v>
      </c>
      <c r="F79" s="79"/>
    </row>
    <row r="80" spans="1:6" ht="13.5">
      <c r="A80" s="203" t="s">
        <v>794</v>
      </c>
      <c r="B80" s="220" t="s">
        <v>6144</v>
      </c>
      <c r="C80" s="200">
        <f>COUNTIF(単語!G:L,単語辞書!A80)</f>
        <v>8</v>
      </c>
      <c r="D80" s="202"/>
      <c r="E80" s="200" t="s">
        <v>379</v>
      </c>
      <c r="F80" s="79"/>
    </row>
    <row r="81" spans="1:6" ht="13.5">
      <c r="A81" s="203" t="s">
        <v>702</v>
      </c>
      <c r="B81" s="220" t="s">
        <v>6143</v>
      </c>
      <c r="C81" s="200">
        <f>COUNTIF(単語!G:L,単語辞書!A81)</f>
        <v>14</v>
      </c>
      <c r="D81" s="202"/>
      <c r="E81" s="200" t="s">
        <v>379</v>
      </c>
      <c r="F81" s="79"/>
    </row>
    <row r="82" spans="1:6" ht="13.5">
      <c r="A82" s="203" t="s">
        <v>4074</v>
      </c>
      <c r="B82" s="203" t="s">
        <v>6142</v>
      </c>
      <c r="C82" s="200">
        <f>COUNTIF(単語!G:L,単語辞書!A82)</f>
        <v>1</v>
      </c>
      <c r="D82" s="202"/>
      <c r="E82" s="200" t="s">
        <v>379</v>
      </c>
      <c r="F82" s="79"/>
    </row>
    <row r="83" spans="1:6" ht="13.5">
      <c r="A83" s="203" t="s">
        <v>3236</v>
      </c>
      <c r="B83" s="220" t="s">
        <v>6141</v>
      </c>
      <c r="C83" s="200">
        <f>COUNTIF(単語!G:L,単語辞書!A83)</f>
        <v>3</v>
      </c>
      <c r="D83" s="202"/>
      <c r="E83" s="200" t="s">
        <v>379</v>
      </c>
      <c r="F83" s="79"/>
    </row>
    <row r="84" spans="1:6" ht="13.5">
      <c r="A84" s="203" t="s">
        <v>955</v>
      </c>
      <c r="B84" s="220" t="s">
        <v>5102</v>
      </c>
      <c r="C84" s="200">
        <f>COUNTIF(単語!G:L,単語辞書!A84)</f>
        <v>18</v>
      </c>
      <c r="D84" s="202"/>
      <c r="E84" s="200" t="s">
        <v>379</v>
      </c>
      <c r="F84" s="79"/>
    </row>
    <row r="85" spans="1:6" ht="13.5">
      <c r="A85" s="203" t="s">
        <v>6140</v>
      </c>
      <c r="B85" s="220" t="s">
        <v>6139</v>
      </c>
      <c r="C85" s="200">
        <f>COUNTIF(単語!G:L,単語辞書!A85)</f>
        <v>1</v>
      </c>
      <c r="D85" s="202"/>
      <c r="E85" s="200" t="s">
        <v>379</v>
      </c>
      <c r="F85" s="79"/>
    </row>
    <row r="86" spans="1:6" ht="13.5">
      <c r="A86" s="203" t="s">
        <v>4043</v>
      </c>
      <c r="B86" s="220" t="s">
        <v>6138</v>
      </c>
      <c r="C86" s="200">
        <f>COUNTIF(単語!G:L,単語辞書!A86)</f>
        <v>1</v>
      </c>
      <c r="D86" s="202"/>
      <c r="E86" s="200" t="s">
        <v>379</v>
      </c>
      <c r="F86" s="79"/>
    </row>
    <row r="87" spans="1:6" ht="13.5">
      <c r="A87" s="203" t="s">
        <v>4040</v>
      </c>
      <c r="B87" s="220" t="s">
        <v>6137</v>
      </c>
      <c r="C87" s="200">
        <f>COUNTIF(単語!G:L,単語辞書!A87)</f>
        <v>5</v>
      </c>
      <c r="D87" s="202"/>
      <c r="E87" s="200" t="s">
        <v>379</v>
      </c>
      <c r="F87" s="79"/>
    </row>
    <row r="88" spans="1:6" ht="13.5">
      <c r="A88" s="203" t="s">
        <v>2894</v>
      </c>
      <c r="B88" s="220" t="s">
        <v>6136</v>
      </c>
      <c r="C88" s="200">
        <f>COUNTIF(単語!G:L,単語辞書!A88)</f>
        <v>1</v>
      </c>
      <c r="D88" s="202"/>
      <c r="E88" s="200" t="s">
        <v>379</v>
      </c>
      <c r="F88" s="79"/>
    </row>
    <row r="89" spans="1:6" ht="13.5">
      <c r="A89" s="203" t="s">
        <v>4039</v>
      </c>
      <c r="B89" s="203" t="s">
        <v>6135</v>
      </c>
      <c r="C89" s="200">
        <f>COUNTIF(単語!G:L,単語辞書!A89)</f>
        <v>2</v>
      </c>
      <c r="D89" s="202"/>
      <c r="E89" s="200" t="s">
        <v>379</v>
      </c>
      <c r="F89" s="79"/>
    </row>
    <row r="90" spans="1:6" ht="13.5">
      <c r="A90" s="205" t="s">
        <v>6134</v>
      </c>
      <c r="B90" s="203" t="s">
        <v>6133</v>
      </c>
      <c r="C90" s="200">
        <f>COUNTIF(単語!G:L,単語辞書!A90)</f>
        <v>2</v>
      </c>
      <c r="D90" s="202"/>
      <c r="E90" s="200" t="s">
        <v>379</v>
      </c>
      <c r="F90" s="79"/>
    </row>
    <row r="91" spans="1:6" ht="13.5">
      <c r="A91" s="203" t="s">
        <v>6132</v>
      </c>
      <c r="B91" s="203" t="s">
        <v>6131</v>
      </c>
      <c r="C91" s="200">
        <f>COUNTIF(単語!G:L,単語辞書!A91)</f>
        <v>1</v>
      </c>
      <c r="D91" s="202"/>
      <c r="E91" s="200" t="s">
        <v>379</v>
      </c>
      <c r="F91" s="79"/>
    </row>
    <row r="92" spans="1:6" ht="13.5">
      <c r="A92" s="203" t="s">
        <v>4059</v>
      </c>
      <c r="B92" s="203" t="s">
        <v>6130</v>
      </c>
      <c r="C92" s="200">
        <f>COUNTIF(単語!G:L,単語辞書!A92)</f>
        <v>1</v>
      </c>
      <c r="D92" s="202"/>
      <c r="E92" s="200" t="s">
        <v>379</v>
      </c>
      <c r="F92" s="79"/>
    </row>
    <row r="93" spans="1:6" ht="13.5">
      <c r="A93" s="219" t="s">
        <v>6129</v>
      </c>
      <c r="B93" s="203" t="s">
        <v>6128</v>
      </c>
      <c r="C93" s="200">
        <f>COUNTIF(単語!G:L,単語辞書!A93)</f>
        <v>4</v>
      </c>
      <c r="D93" s="202"/>
      <c r="E93" s="200" t="s">
        <v>379</v>
      </c>
      <c r="F93" s="79"/>
    </row>
    <row r="94" spans="1:6" ht="13.5">
      <c r="A94" s="219" t="s">
        <v>6127</v>
      </c>
      <c r="B94" s="203" t="s">
        <v>6126</v>
      </c>
      <c r="C94" s="200">
        <f>COUNTIF(単語!G:L,単語辞書!A94)</f>
        <v>3</v>
      </c>
      <c r="D94" s="202"/>
      <c r="E94" s="200" t="s">
        <v>379</v>
      </c>
      <c r="F94" s="79"/>
    </row>
    <row r="95" spans="1:6" ht="13.5">
      <c r="A95" s="219" t="s">
        <v>578</v>
      </c>
      <c r="B95" s="203" t="s">
        <v>6125</v>
      </c>
      <c r="C95" s="200">
        <f>COUNTIF(単語!G:L,単語辞書!A95)</f>
        <v>40</v>
      </c>
      <c r="D95" s="202"/>
      <c r="E95" s="200" t="s">
        <v>379</v>
      </c>
      <c r="F95" s="79"/>
    </row>
    <row r="96" spans="1:6" ht="13.5">
      <c r="A96" s="203" t="s">
        <v>6124</v>
      </c>
      <c r="B96" s="203" t="s">
        <v>6123</v>
      </c>
      <c r="C96" s="200">
        <f>COUNTIF(単語!G:L,単語辞書!A96)</f>
        <v>1</v>
      </c>
      <c r="D96" s="202"/>
      <c r="E96" s="200" t="s">
        <v>379</v>
      </c>
      <c r="F96" s="79"/>
    </row>
    <row r="97" spans="1:6" ht="13.5">
      <c r="A97" s="203" t="s">
        <v>6122</v>
      </c>
      <c r="B97" s="203" t="s">
        <v>6121</v>
      </c>
      <c r="C97" s="200">
        <f>COUNTIF(単語!G:L,単語辞書!A97)</f>
        <v>2</v>
      </c>
      <c r="D97" s="202"/>
      <c r="E97" s="200" t="s">
        <v>379</v>
      </c>
      <c r="F97" s="79"/>
    </row>
    <row r="98" spans="1:6" ht="13.5">
      <c r="A98" s="203" t="s">
        <v>6120</v>
      </c>
      <c r="B98" s="203" t="s">
        <v>6119</v>
      </c>
      <c r="C98" s="200">
        <f>COUNTIF(単語!G:L,単語辞書!A98)</f>
        <v>1</v>
      </c>
      <c r="D98" s="202"/>
      <c r="E98" s="200" t="s">
        <v>379</v>
      </c>
      <c r="F98" s="79"/>
    </row>
    <row r="99" spans="1:6" ht="13.5">
      <c r="A99" s="203" t="s">
        <v>6118</v>
      </c>
      <c r="B99" s="203" t="s">
        <v>6117</v>
      </c>
      <c r="C99" s="200">
        <f>COUNTIF(単語!G:L,単語辞書!A99)</f>
        <v>49</v>
      </c>
      <c r="D99" s="202"/>
      <c r="E99" s="200" t="s">
        <v>379</v>
      </c>
      <c r="F99" s="79"/>
    </row>
    <row r="100" spans="1:6" ht="13.5">
      <c r="A100" s="203" t="s">
        <v>6116</v>
      </c>
      <c r="B100" s="203" t="s">
        <v>6115</v>
      </c>
      <c r="C100" s="200">
        <f>COUNTIF(単語!G:L,単語辞書!A100)</f>
        <v>1</v>
      </c>
      <c r="D100" s="202"/>
      <c r="E100" s="200" t="s">
        <v>379</v>
      </c>
      <c r="F100" s="79"/>
    </row>
    <row r="101" spans="1:6" ht="13.5">
      <c r="A101" s="203" t="s">
        <v>6114</v>
      </c>
      <c r="B101" s="203" t="s">
        <v>6113</v>
      </c>
      <c r="C101" s="200">
        <f>COUNTIF(単語!G:L,単語辞書!A101)</f>
        <v>1</v>
      </c>
      <c r="D101" s="202"/>
      <c r="E101" s="200" t="s">
        <v>379</v>
      </c>
      <c r="F101" s="79"/>
    </row>
    <row r="102" spans="1:6" ht="13.5">
      <c r="A102" s="203" t="s">
        <v>4085</v>
      </c>
      <c r="B102" s="203" t="s">
        <v>6112</v>
      </c>
      <c r="C102" s="200">
        <f>COUNTIF(単語!G:L,単語辞書!A102)</f>
        <v>1</v>
      </c>
      <c r="D102" s="202"/>
      <c r="E102" s="200" t="s">
        <v>379</v>
      </c>
      <c r="F102" s="79"/>
    </row>
    <row r="103" spans="1:6" ht="13.5">
      <c r="A103" s="203" t="s">
        <v>4045</v>
      </c>
      <c r="B103" s="203" t="s">
        <v>6111</v>
      </c>
      <c r="C103" s="200">
        <f>COUNTIF(単語!G:L,単語辞書!A103)</f>
        <v>10</v>
      </c>
      <c r="D103" s="202"/>
      <c r="E103" s="200" t="s">
        <v>379</v>
      </c>
      <c r="F103" s="79"/>
    </row>
    <row r="104" spans="1:6" ht="13.5">
      <c r="A104" s="203" t="s">
        <v>6110</v>
      </c>
      <c r="B104" s="203" t="s">
        <v>6109</v>
      </c>
      <c r="C104" s="200">
        <f>COUNTIF(単語!G:L,単語辞書!A104)</f>
        <v>1</v>
      </c>
      <c r="D104" s="202"/>
      <c r="E104" s="200" t="s">
        <v>379</v>
      </c>
      <c r="F104" s="79"/>
    </row>
    <row r="105" spans="1:6" ht="13.5">
      <c r="A105" s="203" t="s">
        <v>4223</v>
      </c>
      <c r="B105" s="203" t="s">
        <v>6108</v>
      </c>
      <c r="C105" s="200">
        <f>COUNTIF(単語!G:L,単語辞書!A105)</f>
        <v>1</v>
      </c>
      <c r="D105" s="202"/>
      <c r="E105" s="200" t="s">
        <v>379</v>
      </c>
      <c r="F105" s="79"/>
    </row>
    <row r="106" spans="1:6" ht="13.5">
      <c r="A106" s="203" t="s">
        <v>6107</v>
      </c>
      <c r="B106" s="203" t="s">
        <v>6106</v>
      </c>
      <c r="C106" s="200">
        <f>COUNTIF(単語!G:L,単語辞書!A106)</f>
        <v>1</v>
      </c>
      <c r="D106" s="202"/>
      <c r="E106" s="200" t="s">
        <v>379</v>
      </c>
      <c r="F106" s="79"/>
    </row>
    <row r="107" spans="1:6" ht="13.5">
      <c r="A107" s="203" t="s">
        <v>6105</v>
      </c>
      <c r="B107" s="203" t="s">
        <v>6104</v>
      </c>
      <c r="C107" s="200">
        <f>COUNTIF(単語!G:L,単語辞書!A107)</f>
        <v>3</v>
      </c>
      <c r="D107" s="202"/>
      <c r="E107" s="200" t="s">
        <v>379</v>
      </c>
      <c r="F107" s="79"/>
    </row>
    <row r="108" spans="1:6" ht="13.5">
      <c r="A108" s="203" t="s">
        <v>6103</v>
      </c>
      <c r="B108" s="203" t="s">
        <v>6102</v>
      </c>
      <c r="C108" s="200">
        <f>COUNTIF(単語!G:L,単語辞書!A108)</f>
        <v>3</v>
      </c>
      <c r="D108" s="202"/>
      <c r="E108" s="200" t="s">
        <v>379</v>
      </c>
      <c r="F108" s="79"/>
    </row>
    <row r="109" spans="1:6" ht="13.5">
      <c r="A109" s="203" t="s">
        <v>6101</v>
      </c>
      <c r="B109" s="203" t="s">
        <v>6100</v>
      </c>
      <c r="C109" s="200">
        <f>COUNTIF(単語!G:L,単語辞書!A109)</f>
        <v>21</v>
      </c>
      <c r="D109" s="202"/>
      <c r="E109" s="200" t="s">
        <v>379</v>
      </c>
      <c r="F109" s="79"/>
    </row>
    <row r="110" spans="1:6" ht="13.5">
      <c r="A110" s="203" t="s">
        <v>6099</v>
      </c>
      <c r="B110" s="203" t="s">
        <v>6098</v>
      </c>
      <c r="C110" s="200">
        <f>COUNTIF(単語!G:L,単語辞書!A110)</f>
        <v>2</v>
      </c>
      <c r="D110" s="202"/>
      <c r="E110" s="200" t="s">
        <v>379</v>
      </c>
      <c r="F110" s="79"/>
    </row>
    <row r="111" spans="1:6" ht="13.5">
      <c r="A111" s="203" t="s">
        <v>3639</v>
      </c>
      <c r="B111" s="203" t="s">
        <v>6097</v>
      </c>
      <c r="C111" s="200">
        <f>COUNTIF(単語!G:L,単語辞書!A111)</f>
        <v>4</v>
      </c>
      <c r="D111" s="202"/>
      <c r="E111" s="200" t="s">
        <v>379</v>
      </c>
      <c r="F111" s="79"/>
    </row>
    <row r="112" spans="1:6" ht="13.5">
      <c r="A112" s="203" t="s">
        <v>3640</v>
      </c>
      <c r="B112" s="203" t="s">
        <v>6096</v>
      </c>
      <c r="C112" s="200">
        <f>COUNTIF(単語!G:L,単語辞書!A112)</f>
        <v>3</v>
      </c>
      <c r="D112" s="202"/>
      <c r="E112" s="200" t="s">
        <v>379</v>
      </c>
      <c r="F112" s="79"/>
    </row>
    <row r="113" spans="1:6" ht="13.5">
      <c r="A113" s="203" t="s">
        <v>465</v>
      </c>
      <c r="B113" s="203" t="s">
        <v>6095</v>
      </c>
      <c r="C113" s="200">
        <f>COUNTIF(単語!G:L,単語辞書!A113)</f>
        <v>131</v>
      </c>
      <c r="D113" s="202"/>
      <c r="E113" s="200" t="s">
        <v>379</v>
      </c>
      <c r="F113" s="79"/>
    </row>
    <row r="114" spans="1:6" ht="13.5">
      <c r="A114" s="203" t="s">
        <v>6094</v>
      </c>
      <c r="B114" s="203" t="s">
        <v>6093</v>
      </c>
      <c r="C114" s="200">
        <f>COUNTIF(単語!G:L,単語辞書!A114)</f>
        <v>1</v>
      </c>
      <c r="D114" s="202"/>
      <c r="E114" s="200" t="s">
        <v>379</v>
      </c>
      <c r="F114" s="79"/>
    </row>
    <row r="115" spans="1:6" ht="13.5">
      <c r="A115" s="203" t="s">
        <v>2654</v>
      </c>
      <c r="B115" s="203" t="s">
        <v>6092</v>
      </c>
      <c r="C115" s="200">
        <f>COUNTIF(単語!G:L,単語辞書!A115)</f>
        <v>13</v>
      </c>
      <c r="D115" s="202"/>
      <c r="E115" s="200" t="s">
        <v>379</v>
      </c>
      <c r="F115" s="79"/>
    </row>
    <row r="116" spans="1:6" ht="13.5">
      <c r="A116" s="203" t="s">
        <v>6091</v>
      </c>
      <c r="B116" s="203" t="s">
        <v>6090</v>
      </c>
      <c r="C116" s="200">
        <f>COUNTIF(単語!G:L,単語辞書!A116)</f>
        <v>23</v>
      </c>
      <c r="D116" s="202"/>
      <c r="E116" s="200" t="s">
        <v>379</v>
      </c>
      <c r="F116" s="79"/>
    </row>
    <row r="117" spans="1:6" ht="13.5">
      <c r="A117" s="203" t="s">
        <v>6089</v>
      </c>
      <c r="B117" s="203" t="s">
        <v>6088</v>
      </c>
      <c r="C117" s="200">
        <f>COUNTIF(単語!G:L,単語辞書!A117)</f>
        <v>4</v>
      </c>
      <c r="D117" s="202"/>
      <c r="E117" s="200" t="s">
        <v>379</v>
      </c>
      <c r="F117" s="79"/>
    </row>
    <row r="118" spans="1:6" ht="13.5">
      <c r="A118" s="203" t="s">
        <v>665</v>
      </c>
      <c r="B118" s="203" t="s">
        <v>6088</v>
      </c>
      <c r="C118" s="200">
        <f>COUNTIF(単語!G:L,単語辞書!A118)</f>
        <v>13</v>
      </c>
      <c r="D118" s="202"/>
      <c r="E118" s="200" t="s">
        <v>379</v>
      </c>
      <c r="F118" s="79"/>
    </row>
    <row r="119" spans="1:6" ht="13.5">
      <c r="A119" s="203" t="s">
        <v>894</v>
      </c>
      <c r="B119" s="203" t="s">
        <v>6087</v>
      </c>
      <c r="C119" s="200">
        <f>COUNTIF(単語!G:L,単語辞書!A119)</f>
        <v>27</v>
      </c>
      <c r="D119" s="202"/>
      <c r="E119" s="200" t="s">
        <v>379</v>
      </c>
      <c r="F119" s="79"/>
    </row>
    <row r="120" spans="1:6" ht="13.5">
      <c r="A120" s="203" t="s">
        <v>6086</v>
      </c>
      <c r="B120" s="203" t="s">
        <v>6085</v>
      </c>
      <c r="C120" s="200">
        <f>COUNTIF(単語!G:L,単語辞書!A120)</f>
        <v>1</v>
      </c>
      <c r="D120" s="202"/>
      <c r="E120" s="200" t="s">
        <v>379</v>
      </c>
      <c r="F120" s="79"/>
    </row>
    <row r="121" spans="1:6" ht="13.5">
      <c r="A121" s="203" t="s">
        <v>3063</v>
      </c>
      <c r="B121" s="203" t="s">
        <v>6084</v>
      </c>
      <c r="C121" s="200">
        <f>COUNTIF(単語!G:L,単語辞書!A121)</f>
        <v>1</v>
      </c>
      <c r="D121" s="202"/>
      <c r="E121" s="200" t="s">
        <v>379</v>
      </c>
      <c r="F121" s="79"/>
    </row>
    <row r="122" spans="1:6" ht="13.5">
      <c r="A122" s="203" t="s">
        <v>4154</v>
      </c>
      <c r="B122" s="203" t="s">
        <v>6083</v>
      </c>
      <c r="C122" s="200">
        <f>COUNTIF(単語!G:L,単語辞書!A122)</f>
        <v>2</v>
      </c>
      <c r="D122" s="202"/>
      <c r="E122" s="200" t="s">
        <v>379</v>
      </c>
      <c r="F122" s="79"/>
    </row>
    <row r="123" spans="1:6" ht="13.5">
      <c r="A123" s="203" t="s">
        <v>2346</v>
      </c>
      <c r="B123" s="203" t="s">
        <v>6082</v>
      </c>
      <c r="C123" s="200">
        <f>COUNTIF(単語!G:L,単語辞書!A123)</f>
        <v>37</v>
      </c>
      <c r="D123" s="202" t="s">
        <v>6081</v>
      </c>
      <c r="E123" s="200" t="s">
        <v>379</v>
      </c>
      <c r="F123" s="79"/>
    </row>
    <row r="124" spans="1:6" ht="13.5">
      <c r="A124" s="203" t="s">
        <v>6080</v>
      </c>
      <c r="B124" s="203" t="s">
        <v>6079</v>
      </c>
      <c r="C124" s="200">
        <f>COUNTIF(単語!G:L,単語辞書!A124)</f>
        <v>4</v>
      </c>
      <c r="D124" s="202"/>
      <c r="E124" s="200" t="s">
        <v>379</v>
      </c>
      <c r="F124" s="79"/>
    </row>
    <row r="125" spans="1:6" ht="13.5">
      <c r="A125" s="203" t="s">
        <v>834</v>
      </c>
      <c r="B125" s="203" t="s">
        <v>6078</v>
      </c>
      <c r="C125" s="200">
        <f>COUNTIF(単語!G:L,単語辞書!A125)</f>
        <v>26</v>
      </c>
      <c r="D125" s="202"/>
      <c r="E125" s="200" t="s">
        <v>379</v>
      </c>
      <c r="F125" s="79"/>
    </row>
    <row r="126" spans="1:6" ht="13.5">
      <c r="A126" s="203" t="s">
        <v>2866</v>
      </c>
      <c r="B126" s="203" t="s">
        <v>6077</v>
      </c>
      <c r="C126" s="200">
        <f>COUNTIF(単語!G:L,単語辞書!A126)</f>
        <v>2</v>
      </c>
      <c r="D126" s="202"/>
      <c r="E126" s="200" t="s">
        <v>379</v>
      </c>
      <c r="F126" s="79"/>
    </row>
    <row r="127" spans="1:6" ht="13.5">
      <c r="A127" s="203" t="s">
        <v>2863</v>
      </c>
      <c r="B127" s="203" t="s">
        <v>6076</v>
      </c>
      <c r="C127" s="200">
        <f>COUNTIF(単語!G:L,単語辞書!A127)</f>
        <v>2</v>
      </c>
      <c r="D127" s="202"/>
      <c r="E127" s="200" t="s">
        <v>379</v>
      </c>
      <c r="F127" s="79"/>
    </row>
    <row r="128" spans="1:6" ht="13.5">
      <c r="A128" s="203" t="s">
        <v>1855</v>
      </c>
      <c r="B128" s="203" t="s">
        <v>6075</v>
      </c>
      <c r="C128" s="200">
        <f>COUNTIF(単語!G:L,単語辞書!A128)</f>
        <v>13</v>
      </c>
      <c r="D128" s="202"/>
      <c r="E128" s="200" t="s">
        <v>379</v>
      </c>
      <c r="F128" s="79"/>
    </row>
    <row r="129" spans="1:6" ht="13.5">
      <c r="A129" s="203" t="s">
        <v>2853</v>
      </c>
      <c r="B129" s="203" t="s">
        <v>6074</v>
      </c>
      <c r="C129" s="200">
        <f>COUNTIF(単語!G:L,単語辞書!A129)</f>
        <v>1</v>
      </c>
      <c r="D129" s="202"/>
      <c r="E129" s="200" t="s">
        <v>379</v>
      </c>
      <c r="F129" s="79"/>
    </row>
    <row r="130" spans="1:6" ht="13.5">
      <c r="A130" s="203" t="s">
        <v>3465</v>
      </c>
      <c r="B130" s="203" t="s">
        <v>6072</v>
      </c>
      <c r="C130" s="200">
        <f>COUNTIF(単語!G:L,単語辞書!A130)</f>
        <v>3</v>
      </c>
      <c r="D130" s="202"/>
      <c r="E130" s="200" t="s">
        <v>379</v>
      </c>
      <c r="F130" s="79"/>
    </row>
    <row r="131" spans="1:6" ht="13.5">
      <c r="A131" s="203" t="s">
        <v>2849</v>
      </c>
      <c r="B131" s="203" t="s">
        <v>6073</v>
      </c>
      <c r="C131" s="200">
        <f>COUNTIF(単語!G:L,単語辞書!A131)</f>
        <v>1</v>
      </c>
      <c r="D131" s="202"/>
      <c r="E131" s="200" t="s">
        <v>379</v>
      </c>
      <c r="F131" s="79"/>
    </row>
    <row r="132" spans="1:6" ht="13.5">
      <c r="A132" s="203" t="s">
        <v>2847</v>
      </c>
      <c r="B132" s="203" t="s">
        <v>6072</v>
      </c>
      <c r="C132" s="200">
        <f>COUNTIF(単語!G:L,単語辞書!A132)</f>
        <v>1</v>
      </c>
      <c r="D132" s="202"/>
      <c r="E132" s="200" t="s">
        <v>379</v>
      </c>
      <c r="F132" s="79"/>
    </row>
    <row r="133" spans="1:6" ht="13.5">
      <c r="A133" s="203" t="s">
        <v>722</v>
      </c>
      <c r="B133" s="203" t="s">
        <v>6071</v>
      </c>
      <c r="C133" s="200">
        <f>COUNTIF(単語!G:L,単語辞書!A133)</f>
        <v>14</v>
      </c>
      <c r="D133" s="202"/>
      <c r="E133" s="200" t="s">
        <v>379</v>
      </c>
      <c r="F133" s="79"/>
    </row>
    <row r="134" spans="1:6" ht="13.5">
      <c r="A134" s="203" t="s">
        <v>2932</v>
      </c>
      <c r="B134" s="203" t="s">
        <v>6070</v>
      </c>
      <c r="C134" s="200">
        <f>COUNTIF(単語!G:L,単語辞書!A134)</f>
        <v>10</v>
      </c>
      <c r="D134" s="202"/>
      <c r="E134" s="200" t="s">
        <v>379</v>
      </c>
      <c r="F134" s="79"/>
    </row>
    <row r="135" spans="1:6" ht="13.5">
      <c r="A135" s="203" t="s">
        <v>2946</v>
      </c>
      <c r="B135" s="203" t="s">
        <v>6070</v>
      </c>
      <c r="C135" s="200">
        <f>COUNTIF(単語!G:L,単語辞書!A135)</f>
        <v>1</v>
      </c>
      <c r="D135" s="202"/>
      <c r="E135" s="200" t="s">
        <v>379</v>
      </c>
      <c r="F135" s="79"/>
    </row>
    <row r="136" spans="1:6" ht="13.5">
      <c r="A136" s="203" t="s">
        <v>2207</v>
      </c>
      <c r="B136" s="203" t="s">
        <v>6069</v>
      </c>
      <c r="C136" s="200">
        <f>COUNTIF(単語!G:L,単語辞書!A136)</f>
        <v>14</v>
      </c>
      <c r="D136" s="202"/>
      <c r="E136" s="200" t="s">
        <v>379</v>
      </c>
      <c r="F136" s="79"/>
    </row>
    <row r="137" spans="1:6" ht="13.5">
      <c r="A137" s="203" t="s">
        <v>6068</v>
      </c>
      <c r="B137" s="203" t="s">
        <v>6067</v>
      </c>
      <c r="C137" s="200">
        <f>COUNTIF(単語!G:L,単語辞書!A137)</f>
        <v>0</v>
      </c>
      <c r="D137" s="202"/>
      <c r="E137" s="200" t="s">
        <v>379</v>
      </c>
      <c r="F137" s="79"/>
    </row>
    <row r="138" spans="1:6" ht="13.5">
      <c r="A138" s="203" t="s">
        <v>6066</v>
      </c>
      <c r="B138" s="203" t="s">
        <v>6065</v>
      </c>
      <c r="C138" s="200">
        <f>COUNTIF(単語!G:L,単語辞書!A138)</f>
        <v>10</v>
      </c>
      <c r="D138" s="202"/>
      <c r="E138" s="200" t="s">
        <v>379</v>
      </c>
      <c r="F138" s="79"/>
    </row>
    <row r="139" spans="1:6" ht="13.5">
      <c r="A139" s="203" t="s">
        <v>6064</v>
      </c>
      <c r="B139" s="203" t="s">
        <v>6063</v>
      </c>
      <c r="C139" s="200">
        <f>COUNTIF(単語!G:L,単語辞書!A139)</f>
        <v>1</v>
      </c>
      <c r="D139" s="202"/>
      <c r="E139" s="200" t="s">
        <v>379</v>
      </c>
      <c r="F139" s="79"/>
    </row>
    <row r="140" spans="1:6" ht="13.5">
      <c r="A140" s="203" t="s">
        <v>6062</v>
      </c>
      <c r="B140" s="203" t="s">
        <v>6061</v>
      </c>
      <c r="C140" s="200">
        <f>COUNTIF(単語!G:L,単語辞書!A140)</f>
        <v>0</v>
      </c>
      <c r="D140" s="202"/>
      <c r="E140" s="200" t="s">
        <v>379</v>
      </c>
      <c r="F140" s="79"/>
    </row>
    <row r="141" spans="1:6" ht="13.5">
      <c r="A141" s="203" t="s">
        <v>6060</v>
      </c>
      <c r="B141" s="203" t="s">
        <v>6059</v>
      </c>
      <c r="C141" s="200">
        <f>COUNTIF(単語!G:L,単語辞書!A141)</f>
        <v>19</v>
      </c>
      <c r="D141" s="202"/>
      <c r="E141" s="200" t="s">
        <v>379</v>
      </c>
      <c r="F141" s="79"/>
    </row>
    <row r="142" spans="1:6" ht="13.5">
      <c r="A142" s="203" t="s">
        <v>6058</v>
      </c>
      <c r="B142" s="203" t="s">
        <v>6057</v>
      </c>
      <c r="C142" s="200">
        <f>COUNTIF(単語!G:L,単語辞書!A142)</f>
        <v>1</v>
      </c>
      <c r="D142" s="202"/>
      <c r="E142" s="200" t="s">
        <v>379</v>
      </c>
      <c r="F142" s="79"/>
    </row>
    <row r="143" spans="1:6" ht="13.5">
      <c r="A143" s="203" t="s">
        <v>6056</v>
      </c>
      <c r="B143" s="203" t="s">
        <v>6055</v>
      </c>
      <c r="C143" s="200">
        <f>COUNTIF(単語!G:L,単語辞書!A143)</f>
        <v>2</v>
      </c>
      <c r="D143" s="202"/>
      <c r="E143" s="200" t="s">
        <v>379</v>
      </c>
      <c r="F143" s="79"/>
    </row>
    <row r="144" spans="1:6" ht="13.5">
      <c r="A144" s="203" t="s">
        <v>1667</v>
      </c>
      <c r="B144" s="203" t="s">
        <v>6054</v>
      </c>
      <c r="C144" s="200">
        <f>COUNTIF(単語!G:L,単語辞書!A144)</f>
        <v>15</v>
      </c>
      <c r="D144" s="202"/>
      <c r="E144" s="200" t="s">
        <v>379</v>
      </c>
      <c r="F144" s="79"/>
    </row>
    <row r="145" spans="1:6" ht="13.5">
      <c r="A145" s="203" t="s">
        <v>6053</v>
      </c>
      <c r="B145" s="203" t="s">
        <v>6052</v>
      </c>
      <c r="C145" s="200">
        <f>COUNTIF(単語!G:L,単語辞書!A145)</f>
        <v>6</v>
      </c>
      <c r="D145" s="202"/>
      <c r="E145" s="200" t="s">
        <v>379</v>
      </c>
      <c r="F145" s="79"/>
    </row>
    <row r="146" spans="1:6" ht="13.5">
      <c r="A146" s="203" t="s">
        <v>2394</v>
      </c>
      <c r="B146" s="203" t="s">
        <v>6051</v>
      </c>
      <c r="C146" s="200">
        <f>COUNTIF(単語!G:L,単語辞書!A146)</f>
        <v>19</v>
      </c>
      <c r="D146" s="202" t="s">
        <v>6050</v>
      </c>
      <c r="E146" s="200" t="s">
        <v>379</v>
      </c>
      <c r="F146" s="79"/>
    </row>
    <row r="147" spans="1:6" ht="13.5">
      <c r="A147" s="203" t="s">
        <v>6049</v>
      </c>
      <c r="B147" s="203" t="s">
        <v>6048</v>
      </c>
      <c r="C147" s="200">
        <f>COUNTIF(単語!G:L,単語辞書!A147)</f>
        <v>18</v>
      </c>
      <c r="D147" s="202" t="s">
        <v>6484</v>
      </c>
      <c r="E147" s="200" t="s">
        <v>379</v>
      </c>
      <c r="F147" s="79"/>
    </row>
    <row r="148" spans="1:6" ht="13.5">
      <c r="A148" s="203" t="s">
        <v>6047</v>
      </c>
      <c r="B148" s="203" t="s">
        <v>6046</v>
      </c>
      <c r="C148" s="200">
        <f>COUNTIF(単語!G:L,単語辞書!A148)</f>
        <v>2</v>
      </c>
      <c r="D148" s="202" t="s">
        <v>6045</v>
      </c>
      <c r="E148" s="200" t="s">
        <v>379</v>
      </c>
      <c r="F148" s="79"/>
    </row>
    <row r="149" spans="1:6" ht="13.5">
      <c r="A149" s="203" t="s">
        <v>6044</v>
      </c>
      <c r="B149" s="203" t="s">
        <v>6043</v>
      </c>
      <c r="C149" s="200">
        <f>COUNTIF(単語!G:L,単語辞書!A149)</f>
        <v>1</v>
      </c>
      <c r="D149" s="202" t="s">
        <v>6042</v>
      </c>
      <c r="E149" s="200" t="s">
        <v>379</v>
      </c>
      <c r="F149" s="79"/>
    </row>
    <row r="150" spans="1:6" ht="13.5">
      <c r="A150" s="218" t="s">
        <v>6041</v>
      </c>
      <c r="B150" s="217" t="s">
        <v>6040</v>
      </c>
      <c r="C150" s="216"/>
      <c r="D150" s="215"/>
      <c r="E150" s="200"/>
      <c r="F150" s="79"/>
    </row>
    <row r="151" spans="1:6" ht="13.5">
      <c r="A151" s="203" t="s">
        <v>766</v>
      </c>
      <c r="B151" s="203" t="s">
        <v>6039</v>
      </c>
      <c r="C151" s="200">
        <f>COUNTIF(単語!G:L,単語辞書!A151)</f>
        <v>81</v>
      </c>
      <c r="D151" s="202"/>
      <c r="E151" s="200" t="s">
        <v>379</v>
      </c>
      <c r="F151" s="79"/>
    </row>
    <row r="152" spans="1:6" ht="13.5">
      <c r="A152" s="203" t="s">
        <v>6038</v>
      </c>
      <c r="B152" s="203" t="s">
        <v>6037</v>
      </c>
      <c r="C152" s="200">
        <f>COUNTIF(単語!G:L,単語辞書!A152)</f>
        <v>68</v>
      </c>
      <c r="D152" s="202"/>
      <c r="E152" s="200" t="s">
        <v>379</v>
      </c>
      <c r="F152" s="79"/>
    </row>
    <row r="153" spans="1:6" ht="13.5">
      <c r="A153" s="203" t="s">
        <v>6036</v>
      </c>
      <c r="B153" s="203" t="s">
        <v>6035</v>
      </c>
      <c r="C153" s="200">
        <f>COUNTIF(単語!G:L,単語辞書!A153)</f>
        <v>262</v>
      </c>
      <c r="D153" s="202"/>
      <c r="E153" s="200" t="s">
        <v>379</v>
      </c>
      <c r="F153" s="79"/>
    </row>
    <row r="154" spans="1:6" ht="13.5">
      <c r="A154" s="203" t="s">
        <v>6034</v>
      </c>
      <c r="B154" s="203" t="s">
        <v>6033</v>
      </c>
      <c r="C154" s="200">
        <f>COUNTIF(単語!G:L,単語辞書!A154)</f>
        <v>8</v>
      </c>
      <c r="D154" s="202"/>
      <c r="E154" s="200" t="s">
        <v>379</v>
      </c>
      <c r="F154" s="79"/>
    </row>
    <row r="155" spans="1:6" ht="13.5">
      <c r="A155" s="203" t="s">
        <v>6032</v>
      </c>
      <c r="B155" s="203" t="s">
        <v>6031</v>
      </c>
      <c r="C155" s="200">
        <f>COUNTIF(単語!G:L,単語辞書!A155)</f>
        <v>206</v>
      </c>
      <c r="D155" s="202"/>
      <c r="E155" s="200" t="s">
        <v>379</v>
      </c>
      <c r="F155" s="79"/>
    </row>
    <row r="156" spans="1:6" ht="13.5">
      <c r="A156" s="203" t="s">
        <v>6030</v>
      </c>
      <c r="B156" s="203" t="s">
        <v>6029</v>
      </c>
      <c r="C156" s="200">
        <f>COUNTIF(単語!G:L,単語辞書!A156)</f>
        <v>73</v>
      </c>
      <c r="D156" s="202"/>
      <c r="E156" s="200" t="s">
        <v>379</v>
      </c>
      <c r="F156" s="79"/>
    </row>
    <row r="157" spans="1:6" ht="13.5">
      <c r="A157" s="203" t="s">
        <v>2465</v>
      </c>
      <c r="B157" s="203" t="s">
        <v>6028</v>
      </c>
      <c r="C157" s="200">
        <f>COUNTIF(単語!G:L,単語辞書!A157)</f>
        <v>2</v>
      </c>
      <c r="D157" s="202"/>
      <c r="E157" s="200" t="s">
        <v>5575</v>
      </c>
      <c r="F157" s="79"/>
    </row>
    <row r="158" spans="1:6" ht="13.5">
      <c r="A158" s="203" t="s">
        <v>6027</v>
      </c>
      <c r="B158" s="203" t="s">
        <v>6026</v>
      </c>
      <c r="C158" s="200">
        <f>COUNTIF(単語!G:L,単語辞書!A158)</f>
        <v>17</v>
      </c>
      <c r="D158" s="202"/>
      <c r="E158" s="200" t="s">
        <v>5575</v>
      </c>
      <c r="F158" s="79"/>
    </row>
    <row r="159" spans="1:6" ht="13.5">
      <c r="A159" s="203" t="s">
        <v>6025</v>
      </c>
      <c r="B159" s="203" t="s">
        <v>6024</v>
      </c>
      <c r="C159" s="200">
        <f>COUNTIF(単語!G:L,単語辞書!A159)</f>
        <v>1</v>
      </c>
      <c r="D159" s="202"/>
      <c r="E159" s="200" t="s">
        <v>5575</v>
      </c>
      <c r="F159" s="79"/>
    </row>
    <row r="160" spans="1:6" ht="13.5">
      <c r="A160" s="203" t="s">
        <v>6023</v>
      </c>
      <c r="B160" s="203" t="s">
        <v>6022</v>
      </c>
      <c r="C160" s="200">
        <f>COUNTIF(単語!G:L,単語辞書!A160)</f>
        <v>1</v>
      </c>
      <c r="D160" s="202"/>
      <c r="E160" s="200" t="s">
        <v>5575</v>
      </c>
      <c r="F160" s="79"/>
    </row>
    <row r="161" spans="1:6" ht="13.5">
      <c r="A161" s="203" t="s">
        <v>6021</v>
      </c>
      <c r="B161" s="203" t="s">
        <v>6020</v>
      </c>
      <c r="C161" s="200">
        <f>COUNTIF(単語!G:L,単語辞書!A161)</f>
        <v>1</v>
      </c>
      <c r="D161" s="202"/>
      <c r="E161" s="200" t="s">
        <v>5575</v>
      </c>
      <c r="F161" s="79"/>
    </row>
    <row r="162" spans="1:6" ht="13.5">
      <c r="A162" s="218" t="s">
        <v>6019</v>
      </c>
      <c r="B162" s="217" t="s">
        <v>6018</v>
      </c>
      <c r="C162" s="216"/>
      <c r="D162" s="215"/>
      <c r="E162" s="200"/>
      <c r="F162" s="79"/>
    </row>
    <row r="163" spans="1:6" ht="13.5">
      <c r="A163" s="214" t="s">
        <v>6017</v>
      </c>
      <c r="B163" s="203">
        <v>0</v>
      </c>
      <c r="C163" s="200">
        <f>COUNTIF(単語!G:L,単語辞書!A163)</f>
        <v>2</v>
      </c>
      <c r="D163" s="202"/>
      <c r="E163" s="200" t="s">
        <v>5575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5575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5575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5575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5575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5575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5575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5575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5575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5575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5575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5575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5575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5575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5575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5575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5575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5575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5575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5575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5575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5575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5575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5575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5575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5575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5575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5575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5575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5575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5575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5575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5575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5575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5575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5575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5575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5575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5575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5575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5575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5575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5575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5575</v>
      </c>
      <c r="F206" s="79"/>
    </row>
    <row r="207" spans="1:6" ht="13.5">
      <c r="A207" s="203" t="s">
        <v>6016</v>
      </c>
      <c r="B207" s="203" t="s">
        <v>6015</v>
      </c>
      <c r="C207" s="200">
        <f>COUNTIF(単語!G:L,単語辞書!A207)</f>
        <v>1</v>
      </c>
      <c r="D207" s="202"/>
      <c r="E207" s="200" t="s">
        <v>5575</v>
      </c>
      <c r="F207" s="79"/>
    </row>
    <row r="208" spans="1:6" ht="13.5">
      <c r="A208" s="203" t="s">
        <v>6014</v>
      </c>
      <c r="B208" s="203" t="s">
        <v>6013</v>
      </c>
      <c r="C208" s="200">
        <f>COUNTIF(単語!G:L,単語辞書!A208)</f>
        <v>2</v>
      </c>
      <c r="D208" s="202"/>
      <c r="E208" s="200" t="s">
        <v>5575</v>
      </c>
      <c r="F208" s="79"/>
    </row>
    <row r="209" spans="1:6" ht="13.5">
      <c r="A209" s="203" t="s">
        <v>2942</v>
      </c>
      <c r="B209" s="203" t="s">
        <v>2942</v>
      </c>
      <c r="C209" s="200">
        <f>COUNTIF(単語!G:L,単語辞書!A209)</f>
        <v>2</v>
      </c>
      <c r="D209" s="202"/>
      <c r="E209" s="200" t="s">
        <v>5575</v>
      </c>
      <c r="F209" s="79"/>
    </row>
    <row r="210" spans="1:6" ht="13.5">
      <c r="A210" s="203" t="s">
        <v>6012</v>
      </c>
      <c r="B210" s="203" t="s">
        <v>6012</v>
      </c>
      <c r="C210" s="200">
        <f>COUNTIF(単語!G:L,単語辞書!A210)</f>
        <v>1</v>
      </c>
      <c r="D210" s="202"/>
      <c r="E210" s="200" t="s">
        <v>5575</v>
      </c>
      <c r="F210" s="79"/>
    </row>
    <row r="211" spans="1:6" ht="13.5">
      <c r="A211" s="203" t="s">
        <v>6011</v>
      </c>
      <c r="B211" s="203" t="s">
        <v>6011</v>
      </c>
      <c r="C211" s="200">
        <f>COUNTIF(単語!G:L,単語辞書!A211)</f>
        <v>1</v>
      </c>
      <c r="D211" s="202"/>
      <c r="E211" s="200" t="s">
        <v>5575</v>
      </c>
      <c r="F211" s="79"/>
    </row>
    <row r="212" spans="1:6" ht="13.5">
      <c r="A212" s="203" t="s">
        <v>3676</v>
      </c>
      <c r="B212" s="203" t="s">
        <v>3676</v>
      </c>
      <c r="C212" s="200">
        <f>COUNTIF(単語!G:L,単語辞書!A212)</f>
        <v>1</v>
      </c>
      <c r="D212" s="202"/>
      <c r="E212" s="200" t="s">
        <v>5575</v>
      </c>
      <c r="F212" s="79"/>
    </row>
    <row r="213" spans="1:6" ht="13.5">
      <c r="A213" s="203" t="s">
        <v>2859</v>
      </c>
      <c r="B213" s="203" t="s">
        <v>2859</v>
      </c>
      <c r="C213" s="200">
        <f>COUNTIF(単語!G:L,単語辞書!A213)</f>
        <v>2</v>
      </c>
      <c r="D213" s="202"/>
      <c r="E213" s="200" t="s">
        <v>5575</v>
      </c>
      <c r="F213" s="79"/>
    </row>
    <row r="214" spans="1:6" ht="13.5">
      <c r="A214" s="203" t="s">
        <v>2939</v>
      </c>
      <c r="B214" s="203" t="s">
        <v>2939</v>
      </c>
      <c r="C214" s="200">
        <f>COUNTIF(単語!G:L,単語辞書!A214)</f>
        <v>2</v>
      </c>
      <c r="D214" s="202"/>
      <c r="E214" s="200" t="s">
        <v>5575</v>
      </c>
      <c r="F214" s="79"/>
    </row>
    <row r="215" spans="1:6" ht="13.5">
      <c r="A215" s="203" t="s">
        <v>2686</v>
      </c>
      <c r="B215" s="203" t="s">
        <v>2686</v>
      </c>
      <c r="C215" s="200">
        <f>COUNTIF(単語!G:L,単語辞書!A215)</f>
        <v>12</v>
      </c>
      <c r="D215" s="202"/>
      <c r="E215" s="200" t="s">
        <v>5575</v>
      </c>
      <c r="F215" s="79"/>
    </row>
    <row r="216" spans="1:6" ht="13.5">
      <c r="A216" s="203" t="s">
        <v>300</v>
      </c>
      <c r="B216" s="203" t="s">
        <v>300</v>
      </c>
      <c r="C216" s="200">
        <f>COUNTIF(単語!G:L,単語辞書!A216)</f>
        <v>5</v>
      </c>
      <c r="D216" s="202"/>
      <c r="E216" s="200" t="s">
        <v>5575</v>
      </c>
      <c r="F216" s="79"/>
    </row>
    <row r="217" spans="1:6" ht="13.5">
      <c r="A217" s="203" t="s">
        <v>255</v>
      </c>
      <c r="B217" s="203" t="s">
        <v>255</v>
      </c>
      <c r="C217" s="200">
        <f>COUNTIF(単語!G:L,単語辞書!A217)</f>
        <v>12</v>
      </c>
      <c r="D217" s="202"/>
      <c r="E217" s="200" t="s">
        <v>5575</v>
      </c>
      <c r="F217" s="79"/>
    </row>
    <row r="218" spans="1:6" ht="13.5">
      <c r="A218" s="203" t="s">
        <v>6010</v>
      </c>
      <c r="B218" s="203" t="s">
        <v>6009</v>
      </c>
      <c r="C218" s="200">
        <f>COUNTIF(単語!G:L,単語辞書!A218)</f>
        <v>0</v>
      </c>
      <c r="D218" s="202"/>
      <c r="E218" s="200" t="s">
        <v>5575</v>
      </c>
      <c r="F218" s="79"/>
    </row>
    <row r="219" spans="1:6" ht="13.5">
      <c r="A219" s="203" t="s">
        <v>6008</v>
      </c>
      <c r="B219" s="203" t="s">
        <v>6008</v>
      </c>
      <c r="C219" s="200">
        <f>COUNTIF(単語!G:L,単語辞書!A219)</f>
        <v>1</v>
      </c>
      <c r="D219" s="202"/>
      <c r="E219" s="200" t="s">
        <v>5575</v>
      </c>
      <c r="F219" s="79"/>
    </row>
    <row r="220" spans="1:6" ht="13.5">
      <c r="A220" s="203" t="s">
        <v>6007</v>
      </c>
      <c r="B220" s="203" t="s">
        <v>6006</v>
      </c>
      <c r="C220" s="200">
        <f>COUNTIF(単語!G:L,単語辞書!A220)</f>
        <v>0</v>
      </c>
      <c r="D220" s="202"/>
      <c r="E220" s="200" t="s">
        <v>5575</v>
      </c>
      <c r="F220" s="79"/>
    </row>
    <row r="221" spans="1:6" ht="13.5">
      <c r="A221" s="203" t="s">
        <v>6005</v>
      </c>
      <c r="B221" s="203" t="s">
        <v>6004</v>
      </c>
      <c r="C221" s="200">
        <f>COUNTIF(単語!G:L,単語辞書!A221)</f>
        <v>0</v>
      </c>
      <c r="D221" s="202"/>
      <c r="E221" s="200" t="s">
        <v>5575</v>
      </c>
      <c r="F221" s="79"/>
    </row>
    <row r="222" spans="1:6" ht="13.5">
      <c r="A222" s="203" t="s">
        <v>5482</v>
      </c>
      <c r="B222" s="203" t="s">
        <v>5482</v>
      </c>
      <c r="C222" s="200">
        <f>COUNTIF(単語!G:L,単語辞書!A222)</f>
        <v>0</v>
      </c>
      <c r="D222" s="202"/>
      <c r="E222" s="200" t="s">
        <v>5575</v>
      </c>
      <c r="F222" s="79"/>
    </row>
    <row r="223" spans="1:6" ht="13.5">
      <c r="A223" s="203" t="s">
        <v>2449</v>
      </c>
      <c r="B223" s="203" t="s">
        <v>2449</v>
      </c>
      <c r="C223" s="200">
        <f>COUNTIF(単語!G:L,単語辞書!A223)</f>
        <v>3</v>
      </c>
      <c r="D223" s="202"/>
      <c r="E223" s="200" t="s">
        <v>5575</v>
      </c>
      <c r="F223" s="79"/>
    </row>
    <row r="224" spans="1:6" ht="13.5">
      <c r="A224" s="203" t="s">
        <v>6003</v>
      </c>
      <c r="B224" s="203" t="s">
        <v>6003</v>
      </c>
      <c r="C224" s="200">
        <f>COUNTIF(単語!G:L,単語辞書!A224)</f>
        <v>0</v>
      </c>
      <c r="D224" s="202"/>
      <c r="E224" s="200" t="s">
        <v>5575</v>
      </c>
      <c r="F224" s="79"/>
    </row>
    <row r="225" spans="1:6" ht="13.5">
      <c r="A225" s="203" t="s">
        <v>1285</v>
      </c>
      <c r="B225" s="203" t="s">
        <v>6002</v>
      </c>
      <c r="C225" s="200">
        <f>COUNTIF(単語!G:L,単語辞書!A225)</f>
        <v>15</v>
      </c>
      <c r="D225" s="202"/>
      <c r="E225" s="200" t="s">
        <v>5575</v>
      </c>
      <c r="F225" s="79"/>
    </row>
    <row r="226" spans="1:6" ht="13.5">
      <c r="A226" s="203" t="s">
        <v>746</v>
      </c>
      <c r="B226" s="203" t="s">
        <v>746</v>
      </c>
      <c r="C226" s="200">
        <f>COUNTIF(単語!G:L,単語辞書!A226)</f>
        <v>45</v>
      </c>
      <c r="D226" s="202"/>
      <c r="E226" s="200" t="s">
        <v>5575</v>
      </c>
      <c r="F226" s="79"/>
    </row>
    <row r="227" spans="1:6" ht="13.5">
      <c r="A227" s="203" t="s">
        <v>6001</v>
      </c>
      <c r="B227" s="203" t="s">
        <v>6000</v>
      </c>
      <c r="C227" s="200">
        <f>COUNTIF(単語!G:L,単語辞書!A227)</f>
        <v>4</v>
      </c>
      <c r="D227" s="202"/>
      <c r="E227" s="200" t="s">
        <v>5575</v>
      </c>
      <c r="F227" s="79"/>
    </row>
    <row r="228" spans="1:6" ht="13.5">
      <c r="A228" s="203" t="s">
        <v>4477</v>
      </c>
      <c r="B228" s="203" t="s">
        <v>4477</v>
      </c>
      <c r="C228" s="200">
        <f>COUNTIF(単語!G:L,単語辞書!A228)</f>
        <v>1</v>
      </c>
      <c r="D228" s="202"/>
      <c r="E228" s="200" t="s">
        <v>5575</v>
      </c>
      <c r="F228" s="79"/>
    </row>
    <row r="229" spans="1:6" ht="13.5">
      <c r="A229" s="203" t="s">
        <v>5999</v>
      </c>
      <c r="B229" s="203" t="s">
        <v>5999</v>
      </c>
      <c r="C229" s="200">
        <f>COUNTIF(単語!G:L,単語辞書!A229)</f>
        <v>3</v>
      </c>
      <c r="D229" s="202"/>
      <c r="E229" s="200" t="s">
        <v>5575</v>
      </c>
      <c r="F229" s="79"/>
    </row>
    <row r="230" spans="1:6" ht="13.5">
      <c r="A230" s="203" t="s">
        <v>5998</v>
      </c>
      <c r="B230" s="203" t="s">
        <v>5998</v>
      </c>
      <c r="C230" s="200">
        <f>COUNTIF(単語!G:L,単語辞書!A230)</f>
        <v>1</v>
      </c>
      <c r="D230" s="202"/>
      <c r="E230" s="200" t="s">
        <v>5575</v>
      </c>
      <c r="F230" s="79"/>
    </row>
    <row r="231" spans="1:6" ht="13.5">
      <c r="A231" s="203" t="s">
        <v>4468</v>
      </c>
      <c r="B231" s="203" t="s">
        <v>4468</v>
      </c>
      <c r="C231" s="200">
        <f>COUNTIF(単語!G:L,単語辞書!A231)</f>
        <v>6</v>
      </c>
      <c r="D231" s="202"/>
      <c r="E231" s="200" t="s">
        <v>5575</v>
      </c>
      <c r="F231" s="79"/>
    </row>
    <row r="232" spans="1:6" ht="13.5">
      <c r="A232" s="203" t="s">
        <v>4953</v>
      </c>
      <c r="B232" s="203" t="s">
        <v>4953</v>
      </c>
      <c r="C232" s="200">
        <f>COUNTIF(単語!G:L,単語辞書!A232)</f>
        <v>0</v>
      </c>
      <c r="D232" s="202"/>
      <c r="E232" s="200" t="s">
        <v>5575</v>
      </c>
      <c r="F232" s="79"/>
    </row>
    <row r="233" spans="1:6" ht="13.5">
      <c r="A233" s="203" t="s">
        <v>1339</v>
      </c>
      <c r="B233" s="203" t="s">
        <v>5997</v>
      </c>
      <c r="C233" s="200">
        <f>COUNTIF(単語!G:L,単語辞書!A233)</f>
        <v>3</v>
      </c>
      <c r="D233" s="202"/>
      <c r="E233" s="200" t="s">
        <v>5575</v>
      </c>
      <c r="F233" s="79"/>
    </row>
    <row r="234" spans="1:6" ht="13.5">
      <c r="A234" s="203" t="s">
        <v>1341</v>
      </c>
      <c r="B234" s="203" t="s">
        <v>5996</v>
      </c>
      <c r="C234" s="200">
        <f>COUNTIF(単語!G:L,単語辞書!A234)</f>
        <v>3</v>
      </c>
      <c r="D234" s="202"/>
      <c r="E234" s="200" t="s">
        <v>5575</v>
      </c>
      <c r="F234" s="79"/>
    </row>
    <row r="235" spans="1:6" ht="13.5">
      <c r="A235" s="203" t="s">
        <v>5995</v>
      </c>
      <c r="B235" s="203" t="s">
        <v>5995</v>
      </c>
      <c r="C235" s="200">
        <f>COUNTIF(単語!G:L,単語辞書!A235)</f>
        <v>1</v>
      </c>
      <c r="D235" s="202"/>
      <c r="E235" s="200" t="s">
        <v>5575</v>
      </c>
      <c r="F235" s="79"/>
    </row>
    <row r="236" spans="1:6" ht="13.5">
      <c r="A236" s="203" t="s">
        <v>5994</v>
      </c>
      <c r="B236" s="203" t="s">
        <v>5993</v>
      </c>
      <c r="C236" s="200">
        <f>COUNTIF(単語!G:L,単語辞書!A236)</f>
        <v>2</v>
      </c>
      <c r="D236" s="202"/>
      <c r="E236" s="200" t="s">
        <v>5575</v>
      </c>
      <c r="F236" s="79"/>
    </row>
    <row r="237" spans="1:6" ht="13.5">
      <c r="A237" s="203" t="s">
        <v>5992</v>
      </c>
      <c r="B237" s="203" t="s">
        <v>5991</v>
      </c>
      <c r="C237" s="200">
        <f>COUNTIF(単語!G:L,単語辞書!A237)</f>
        <v>4</v>
      </c>
      <c r="D237" s="202"/>
      <c r="E237" s="200" t="s">
        <v>5575</v>
      </c>
      <c r="F237" s="79"/>
    </row>
    <row r="238" spans="1:6" ht="13.5">
      <c r="A238" s="203" t="s">
        <v>3203</v>
      </c>
      <c r="B238" s="203" t="s">
        <v>2117</v>
      </c>
      <c r="C238" s="200">
        <f>COUNTIF(単語!G:L,単語辞書!A238)</f>
        <v>15</v>
      </c>
      <c r="D238" s="202"/>
      <c r="E238" s="200" t="s">
        <v>5575</v>
      </c>
      <c r="F238" s="79"/>
    </row>
    <row r="239" spans="1:6" ht="13.5">
      <c r="A239" s="203" t="s">
        <v>1238</v>
      </c>
      <c r="B239" s="203" t="s">
        <v>1238</v>
      </c>
      <c r="C239" s="200">
        <f>COUNTIF(単語!G:L,単語辞書!A239)</f>
        <v>7</v>
      </c>
      <c r="D239" s="202"/>
      <c r="E239" s="200" t="s">
        <v>5575</v>
      </c>
      <c r="F239" s="79"/>
    </row>
    <row r="240" spans="1:6" ht="13.5">
      <c r="A240" s="203" t="s">
        <v>4446</v>
      </c>
      <c r="B240" s="203" t="s">
        <v>5990</v>
      </c>
      <c r="C240" s="200">
        <f>COUNTIF(単語!G:L,単語辞書!A240)</f>
        <v>10</v>
      </c>
      <c r="D240" s="202"/>
      <c r="E240" s="200" t="s">
        <v>5575</v>
      </c>
      <c r="F240" s="79"/>
    </row>
    <row r="241" spans="1:6" ht="13.5">
      <c r="A241" s="203" t="s">
        <v>4442</v>
      </c>
      <c r="B241" s="203" t="s">
        <v>4442</v>
      </c>
      <c r="C241" s="200">
        <f>COUNTIF(単語!G:L,単語辞書!A241)</f>
        <v>2</v>
      </c>
      <c r="D241" s="202"/>
      <c r="E241" s="200" t="s">
        <v>5575</v>
      </c>
      <c r="F241" s="79"/>
    </row>
    <row r="242" spans="1:6" ht="13.5">
      <c r="A242" s="203" t="s">
        <v>3965</v>
      </c>
      <c r="B242" s="203" t="s">
        <v>3965</v>
      </c>
      <c r="C242" s="200">
        <f>COUNTIF(単語!G:L,単語辞書!A242)</f>
        <v>1</v>
      </c>
      <c r="D242" s="202"/>
      <c r="E242" s="200" t="s">
        <v>5575</v>
      </c>
      <c r="F242" s="79"/>
    </row>
    <row r="243" spans="1:6" ht="13.5">
      <c r="A243" s="203" t="s">
        <v>5989</v>
      </c>
      <c r="B243" s="203" t="s">
        <v>5988</v>
      </c>
      <c r="C243" s="200">
        <f>COUNTIF(単語!G:L,単語辞書!A243)</f>
        <v>1</v>
      </c>
      <c r="D243" s="202"/>
      <c r="E243" s="200" t="s">
        <v>5575</v>
      </c>
      <c r="F243" s="79"/>
    </row>
    <row r="244" spans="1:6" ht="13.5">
      <c r="A244" s="203" t="s">
        <v>5987</v>
      </c>
      <c r="B244" s="203" t="s">
        <v>5986</v>
      </c>
      <c r="C244" s="200">
        <f>COUNTIF(単語!G:L,単語辞書!A244)</f>
        <v>1</v>
      </c>
      <c r="D244" s="202"/>
      <c r="E244" s="200" t="s">
        <v>5575</v>
      </c>
      <c r="F244" s="79"/>
    </row>
    <row r="245" spans="1:6" ht="13.5">
      <c r="A245" s="203" t="s">
        <v>5985</v>
      </c>
      <c r="B245" s="203" t="s">
        <v>5984</v>
      </c>
      <c r="C245" s="200">
        <f>COUNTIF(単語!G:L,単語辞書!A245)</f>
        <v>2</v>
      </c>
      <c r="D245" s="202"/>
      <c r="E245" s="200" t="s">
        <v>5575</v>
      </c>
      <c r="F245" s="79"/>
    </row>
    <row r="246" spans="1:6" ht="13.5">
      <c r="A246" s="203" t="s">
        <v>5983</v>
      </c>
      <c r="B246" s="203" t="s">
        <v>5982</v>
      </c>
      <c r="C246" s="200">
        <f>COUNTIF(単語!G:L,単語辞書!A246)</f>
        <v>20</v>
      </c>
      <c r="D246" s="202"/>
      <c r="E246" s="200" t="s">
        <v>5575</v>
      </c>
      <c r="F246" s="79"/>
    </row>
    <row r="247" spans="1:6" ht="13.5">
      <c r="A247" s="203" t="s">
        <v>5981</v>
      </c>
      <c r="B247" s="203" t="s">
        <v>5981</v>
      </c>
      <c r="C247" s="200">
        <f>COUNTIF(単語!G:L,単語辞書!A247)</f>
        <v>0</v>
      </c>
      <c r="D247" s="202"/>
      <c r="E247" s="200" t="s">
        <v>5575</v>
      </c>
      <c r="F247" s="79"/>
    </row>
    <row r="248" spans="1:6" ht="13.5">
      <c r="A248" s="203" t="s">
        <v>1235</v>
      </c>
      <c r="B248" s="203" t="s">
        <v>1235</v>
      </c>
      <c r="C248" s="200">
        <f>COUNTIF(単語!G:L,単語辞書!A248)</f>
        <v>14</v>
      </c>
      <c r="D248" s="202"/>
      <c r="E248" s="200" t="s">
        <v>5575</v>
      </c>
      <c r="F248" s="79"/>
    </row>
    <row r="249" spans="1:6" ht="13.5">
      <c r="A249" s="203" t="s">
        <v>5980</v>
      </c>
      <c r="B249" s="203" t="s">
        <v>4424</v>
      </c>
      <c r="C249" s="200">
        <f>COUNTIF(単語!G:L,単語辞書!A249)</f>
        <v>4</v>
      </c>
      <c r="D249" s="202"/>
      <c r="E249" s="200" t="s">
        <v>5575</v>
      </c>
      <c r="F249" s="79"/>
    </row>
    <row r="250" spans="1:6" ht="13.5">
      <c r="A250" s="203" t="s">
        <v>4421</v>
      </c>
      <c r="B250" s="203" t="s">
        <v>4421</v>
      </c>
      <c r="C250" s="200">
        <f>COUNTIF(単語!G:L,単語辞書!A250)</f>
        <v>1</v>
      </c>
      <c r="D250" s="202"/>
      <c r="E250" s="200" t="s">
        <v>5575</v>
      </c>
      <c r="F250" s="79"/>
    </row>
    <row r="251" spans="1:6" ht="13.5">
      <c r="A251" s="203" t="s">
        <v>2721</v>
      </c>
      <c r="B251" s="203" t="s">
        <v>4846</v>
      </c>
      <c r="C251" s="200">
        <f>COUNTIF(単語!G:L,単語辞書!A251)</f>
        <v>3</v>
      </c>
      <c r="D251" s="202"/>
      <c r="E251" s="200" t="s">
        <v>5575</v>
      </c>
      <c r="F251" s="79"/>
    </row>
    <row r="252" spans="1:6" ht="13.5">
      <c r="A252" s="203" t="s">
        <v>5979</v>
      </c>
      <c r="B252" s="203" t="s">
        <v>5978</v>
      </c>
      <c r="C252" s="200">
        <f>COUNTIF(単語!G:L,単語辞書!A252)</f>
        <v>3</v>
      </c>
      <c r="D252" s="202"/>
      <c r="E252" s="200" t="s">
        <v>5575</v>
      </c>
      <c r="F252" s="79"/>
    </row>
    <row r="253" spans="1:6" ht="13.5">
      <c r="A253" s="203" t="s">
        <v>4076</v>
      </c>
      <c r="B253" s="203" t="s">
        <v>5977</v>
      </c>
      <c r="C253" s="200">
        <f>COUNTIF(単語!G:L,単語辞書!A253)</f>
        <v>3</v>
      </c>
      <c r="D253" s="202"/>
      <c r="E253" s="200" t="s">
        <v>5575</v>
      </c>
      <c r="F253" s="79"/>
    </row>
    <row r="254" spans="1:6" ht="13.5">
      <c r="A254" s="203" t="s">
        <v>1282</v>
      </c>
      <c r="B254" s="203" t="s">
        <v>5312</v>
      </c>
      <c r="C254" s="200">
        <f>COUNTIF(単語!G:L,単語辞書!A254)</f>
        <v>15</v>
      </c>
      <c r="D254" s="202"/>
      <c r="E254" s="200" t="s">
        <v>5575</v>
      </c>
      <c r="F254" s="79"/>
    </row>
    <row r="255" spans="1:6" ht="13.5">
      <c r="A255" s="203" t="s">
        <v>4641</v>
      </c>
      <c r="B255" s="203" t="s">
        <v>4641</v>
      </c>
      <c r="C255" s="200">
        <f>COUNTIF(単語!G:L,単語辞書!A255)</f>
        <v>1</v>
      </c>
      <c r="D255" s="202"/>
      <c r="E255" s="200" t="s">
        <v>5575</v>
      </c>
      <c r="F255" s="79"/>
    </row>
    <row r="256" spans="1:6" ht="13.5">
      <c r="A256" s="203" t="s">
        <v>5976</v>
      </c>
      <c r="B256" s="203" t="s">
        <v>5975</v>
      </c>
      <c r="C256" s="200">
        <f>COUNTIF(単語!G:L,単語辞書!A256)</f>
        <v>1</v>
      </c>
      <c r="D256" s="202"/>
      <c r="E256" s="200" t="s">
        <v>5575</v>
      </c>
      <c r="F256" s="79"/>
    </row>
    <row r="257" spans="1:6" ht="13.5">
      <c r="A257" s="203" t="s">
        <v>2870</v>
      </c>
      <c r="B257" s="203" t="s">
        <v>5974</v>
      </c>
      <c r="C257" s="200">
        <f>COUNTIF(単語!G:L,単語辞書!A257)</f>
        <v>6</v>
      </c>
      <c r="D257" s="202"/>
      <c r="E257" s="200" t="s">
        <v>5575</v>
      </c>
      <c r="F257" s="79"/>
    </row>
    <row r="258" spans="1:6" ht="13.5">
      <c r="A258" s="203" t="s">
        <v>2876</v>
      </c>
      <c r="B258" s="203" t="s">
        <v>5166</v>
      </c>
      <c r="C258" s="200">
        <f>COUNTIF(単語!G:L,単語辞書!A258)</f>
        <v>5</v>
      </c>
      <c r="D258" s="202"/>
      <c r="E258" s="200" t="s">
        <v>5575</v>
      </c>
      <c r="F258" s="79"/>
    </row>
    <row r="259" spans="1:6" ht="13.5">
      <c r="A259" s="213" t="s">
        <v>5973</v>
      </c>
      <c r="B259" s="203" t="s">
        <v>5972</v>
      </c>
      <c r="C259" s="200">
        <f>COUNTIF(単語!G:L,単語辞書!A259)</f>
        <v>1</v>
      </c>
      <c r="D259" s="202"/>
      <c r="E259" s="200" t="s">
        <v>5575</v>
      </c>
      <c r="F259" s="79"/>
    </row>
    <row r="260" spans="1:6" ht="13.5">
      <c r="A260" s="213" t="s">
        <v>5971</v>
      </c>
      <c r="B260" s="203" t="s">
        <v>5970</v>
      </c>
      <c r="C260" s="200">
        <f>COUNTIF(単語!G:L,単語辞書!A260)</f>
        <v>2</v>
      </c>
      <c r="D260" s="202"/>
      <c r="E260" s="200" t="s">
        <v>5575</v>
      </c>
      <c r="F260" s="79"/>
    </row>
    <row r="261" spans="1:6" ht="13.5">
      <c r="A261" s="213" t="s">
        <v>5969</v>
      </c>
      <c r="B261" s="203" t="s">
        <v>5968</v>
      </c>
      <c r="C261" s="200">
        <f>COUNTIF(単語!G:L,単語辞書!A261)</f>
        <v>0</v>
      </c>
      <c r="D261" s="202"/>
      <c r="E261" s="200" t="s">
        <v>5575</v>
      </c>
      <c r="F261" s="79"/>
    </row>
    <row r="262" spans="1:6" ht="13.5">
      <c r="A262" s="213" t="s">
        <v>5967</v>
      </c>
      <c r="B262" s="203" t="s">
        <v>5966</v>
      </c>
      <c r="C262" s="200">
        <f>COUNTIF(単語!G:L,単語辞書!A262)</f>
        <v>1</v>
      </c>
      <c r="D262" s="202"/>
      <c r="E262" s="200" t="s">
        <v>5575</v>
      </c>
      <c r="F262" s="79"/>
    </row>
    <row r="263" spans="1:6" ht="13.5">
      <c r="A263" s="203" t="s">
        <v>5965</v>
      </c>
      <c r="B263" s="203" t="s">
        <v>5964</v>
      </c>
      <c r="C263" s="200">
        <f>COUNTIF(単語!G:L,単語辞書!A263)</f>
        <v>35</v>
      </c>
      <c r="D263" s="202"/>
      <c r="E263" s="200" t="s">
        <v>5575</v>
      </c>
      <c r="F263" s="79"/>
    </row>
    <row r="264" spans="1:6" ht="13.5">
      <c r="A264" s="203" t="s">
        <v>5963</v>
      </c>
      <c r="B264" s="203" t="s">
        <v>5962</v>
      </c>
      <c r="C264" s="200">
        <f>COUNTIF(単語!G:L,単語辞書!A264)</f>
        <v>2</v>
      </c>
      <c r="D264" s="202"/>
      <c r="E264" s="200" t="s">
        <v>5575</v>
      </c>
      <c r="F264" s="79"/>
    </row>
    <row r="265" spans="1:6" ht="13.5">
      <c r="A265" s="203" t="s">
        <v>5961</v>
      </c>
      <c r="B265" s="203" t="s">
        <v>5960</v>
      </c>
      <c r="C265" s="200">
        <f>COUNTIF(単語!G:L,単語辞書!A265)</f>
        <v>2</v>
      </c>
      <c r="D265" s="202"/>
      <c r="E265" s="200" t="s">
        <v>5575</v>
      </c>
      <c r="F265" s="79"/>
    </row>
    <row r="266" spans="1:6" ht="13.5">
      <c r="A266" s="213" t="s">
        <v>5959</v>
      </c>
      <c r="B266" s="203" t="s">
        <v>5752</v>
      </c>
      <c r="C266" s="200">
        <f>COUNTIF(単語!G:L,単語辞書!A266)</f>
        <v>2</v>
      </c>
      <c r="D266" s="202"/>
      <c r="E266" s="200" t="s">
        <v>5575</v>
      </c>
      <c r="F266" s="79"/>
    </row>
    <row r="267" spans="1:6" ht="13.5">
      <c r="A267" s="203" t="s">
        <v>5958</v>
      </c>
      <c r="B267" s="203" t="s">
        <v>5957</v>
      </c>
      <c r="C267" s="200">
        <f>COUNTIF(単語!G:L,単語辞書!A267)</f>
        <v>1</v>
      </c>
      <c r="D267" s="202"/>
      <c r="E267" s="200" t="s">
        <v>5575</v>
      </c>
      <c r="F267" s="79"/>
    </row>
    <row r="268" spans="1:6" ht="13.5">
      <c r="A268" s="203" t="s">
        <v>5956</v>
      </c>
      <c r="B268" s="203" t="s">
        <v>5955</v>
      </c>
      <c r="C268" s="200">
        <f>COUNTIF(単語!G:L,単語辞書!A268)</f>
        <v>1</v>
      </c>
      <c r="D268" s="202"/>
      <c r="E268" s="200" t="s">
        <v>5575</v>
      </c>
      <c r="F268" s="79"/>
    </row>
    <row r="269" spans="1:6" ht="13.5">
      <c r="A269" s="203" t="s">
        <v>5954</v>
      </c>
      <c r="B269" s="203" t="s">
        <v>5752</v>
      </c>
      <c r="C269" s="200">
        <f>COUNTIF(単語!G:L,単語辞書!A269)</f>
        <v>1</v>
      </c>
      <c r="D269" s="202" t="s">
        <v>5751</v>
      </c>
      <c r="E269" s="200" t="s">
        <v>5575</v>
      </c>
      <c r="F269" s="79"/>
    </row>
    <row r="270" spans="1:6" ht="13.5">
      <c r="A270" s="203" t="s">
        <v>5953</v>
      </c>
      <c r="B270" s="203" t="s">
        <v>5952</v>
      </c>
      <c r="C270" s="200">
        <f>COUNTIF(単語!G:L,単語辞書!A270)</f>
        <v>1</v>
      </c>
      <c r="D270" s="202"/>
      <c r="E270" s="200" t="s">
        <v>5575</v>
      </c>
      <c r="F270" s="79"/>
    </row>
    <row r="271" spans="1:6" ht="13.5">
      <c r="A271" s="203" t="s">
        <v>5951</v>
      </c>
      <c r="B271" s="203" t="s">
        <v>5950</v>
      </c>
      <c r="C271" s="200">
        <f>COUNTIF(単語!G:L,単語辞書!A271)</f>
        <v>2</v>
      </c>
      <c r="D271" s="202"/>
      <c r="E271" s="200" t="s">
        <v>5575</v>
      </c>
      <c r="F271" s="79"/>
    </row>
    <row r="272" spans="1:6" ht="13.5">
      <c r="A272" s="203" t="s">
        <v>5949</v>
      </c>
      <c r="B272" s="210" t="s">
        <v>5948</v>
      </c>
      <c r="C272" s="200">
        <f>COUNTIF(単語!G:L,単語辞書!A272)</f>
        <v>3</v>
      </c>
      <c r="D272" s="202"/>
      <c r="E272" s="200" t="s">
        <v>5575</v>
      </c>
      <c r="F272" s="79"/>
    </row>
    <row r="273" spans="1:6" ht="13.5">
      <c r="A273" s="203" t="s">
        <v>5947</v>
      </c>
      <c r="B273" s="203" t="s">
        <v>5946</v>
      </c>
      <c r="C273" s="200">
        <f>COUNTIF(単語!G:L,単語辞書!A273)</f>
        <v>1</v>
      </c>
      <c r="D273" s="202" t="s">
        <v>5945</v>
      </c>
      <c r="E273" s="200" t="s">
        <v>5575</v>
      </c>
      <c r="F273" s="79"/>
    </row>
    <row r="274" spans="1:6" ht="13.5">
      <c r="A274" s="203" t="s">
        <v>5944</v>
      </c>
      <c r="B274" s="203" t="s">
        <v>5943</v>
      </c>
      <c r="C274" s="200">
        <f>COUNTIF(単語!G:L,単語辞書!A274)</f>
        <v>0</v>
      </c>
      <c r="D274" s="202"/>
      <c r="E274" s="200" t="s">
        <v>5575</v>
      </c>
      <c r="F274" s="79"/>
    </row>
    <row r="275" spans="1:6" ht="13.5">
      <c r="A275" s="203" t="s">
        <v>5942</v>
      </c>
      <c r="B275" s="203" t="s">
        <v>5941</v>
      </c>
      <c r="C275" s="200">
        <f>COUNTIF(単語!G:L,単語辞書!A275)</f>
        <v>1</v>
      </c>
      <c r="D275" s="202"/>
      <c r="E275" s="200" t="s">
        <v>5575</v>
      </c>
      <c r="F275" s="79"/>
    </row>
    <row r="276" spans="1:6" ht="13.5">
      <c r="A276" s="203" t="s">
        <v>5940</v>
      </c>
      <c r="B276" s="203" t="s">
        <v>5939</v>
      </c>
      <c r="C276" s="200">
        <f>COUNTIF(単語!G:L,単語辞書!A276)</f>
        <v>2</v>
      </c>
      <c r="D276" s="202"/>
      <c r="E276" s="200" t="s">
        <v>5575</v>
      </c>
      <c r="F276" s="79"/>
    </row>
    <row r="277" spans="1:6" ht="13.5">
      <c r="A277" s="203" t="s">
        <v>5938</v>
      </c>
      <c r="B277" s="203" t="s">
        <v>5003</v>
      </c>
      <c r="C277" s="200">
        <f>COUNTIF(単語!G:L,単語辞書!A277)</f>
        <v>5</v>
      </c>
      <c r="D277" s="202"/>
      <c r="E277" s="200" t="s">
        <v>5575</v>
      </c>
      <c r="F277" s="79"/>
    </row>
    <row r="278" spans="1:6" ht="13.5">
      <c r="A278" s="203" t="s">
        <v>5937</v>
      </c>
      <c r="B278" s="203" t="s">
        <v>5936</v>
      </c>
      <c r="C278" s="200">
        <f>COUNTIF(単語!G:L,単語辞書!A278)</f>
        <v>3</v>
      </c>
      <c r="D278" s="202"/>
      <c r="E278" s="200" t="s">
        <v>5575</v>
      </c>
      <c r="F278" s="79"/>
    </row>
    <row r="279" spans="1:6" ht="13.5">
      <c r="A279" s="203" t="s">
        <v>5935</v>
      </c>
      <c r="B279" s="203" t="s">
        <v>5934</v>
      </c>
      <c r="C279" s="200">
        <f>COUNTIF(単語!G:L,単語辞書!A279)</f>
        <v>4</v>
      </c>
      <c r="D279" s="202"/>
      <c r="E279" s="200" t="s">
        <v>5575</v>
      </c>
      <c r="F279" s="79"/>
    </row>
    <row r="280" spans="1:6" ht="13.5">
      <c r="A280" s="203" t="s">
        <v>5933</v>
      </c>
      <c r="B280" s="203" t="s">
        <v>5932</v>
      </c>
      <c r="C280" s="200">
        <f>COUNTIF(単語!G:L,単語辞書!A280)</f>
        <v>14</v>
      </c>
      <c r="D280" s="202"/>
      <c r="E280" s="200" t="s">
        <v>5575</v>
      </c>
      <c r="F280" s="79"/>
    </row>
    <row r="281" spans="1:6" ht="13.5">
      <c r="A281" s="203" t="s">
        <v>5931</v>
      </c>
      <c r="B281" s="203" t="s">
        <v>5930</v>
      </c>
      <c r="C281" s="200">
        <f>COUNTIF(単語!G:L,単語辞書!A281)</f>
        <v>1</v>
      </c>
      <c r="D281" s="202"/>
      <c r="E281" s="200" t="s">
        <v>5575</v>
      </c>
      <c r="F281" s="79"/>
    </row>
    <row r="282" spans="1:6" ht="13.5">
      <c r="A282" s="203" t="s">
        <v>5929</v>
      </c>
      <c r="B282" s="203" t="s">
        <v>5928</v>
      </c>
      <c r="C282" s="200">
        <f>COUNTIF(単語!G:L,単語辞書!A282)</f>
        <v>11</v>
      </c>
      <c r="D282" s="202"/>
      <c r="E282" s="200" t="s">
        <v>5575</v>
      </c>
      <c r="F282" s="79"/>
    </row>
    <row r="283" spans="1:6" ht="13.5">
      <c r="A283" s="203" t="s">
        <v>5927</v>
      </c>
      <c r="B283" s="203" t="s">
        <v>5926</v>
      </c>
      <c r="C283" s="200">
        <f>COUNTIF(単語!G:L,単語辞書!A283)</f>
        <v>3</v>
      </c>
      <c r="D283" s="202"/>
      <c r="E283" s="200" t="s">
        <v>5575</v>
      </c>
      <c r="F283" s="79"/>
    </row>
    <row r="284" spans="1:6" ht="13.5">
      <c r="A284" s="203" t="s">
        <v>5925</v>
      </c>
      <c r="B284" s="203" t="s">
        <v>5924</v>
      </c>
      <c r="C284" s="200">
        <f>COUNTIF(単語!G:L,単語辞書!A284)</f>
        <v>8</v>
      </c>
      <c r="D284" s="202"/>
      <c r="E284" s="200" t="s">
        <v>5575</v>
      </c>
      <c r="F284" s="79"/>
    </row>
    <row r="285" spans="1:6" ht="13.5">
      <c r="A285" s="203" t="s">
        <v>5923</v>
      </c>
      <c r="B285" s="203" t="s">
        <v>5922</v>
      </c>
      <c r="C285" s="200">
        <f>COUNTIF(単語!G:L,単語辞書!A285)</f>
        <v>3</v>
      </c>
      <c r="D285" s="202"/>
      <c r="E285" s="200" t="s">
        <v>5575</v>
      </c>
      <c r="F285" s="79"/>
    </row>
    <row r="286" spans="1:6" ht="13.5">
      <c r="A286" s="203" t="s">
        <v>5921</v>
      </c>
      <c r="B286" s="210" t="s">
        <v>5920</v>
      </c>
      <c r="C286" s="200">
        <f>COUNTIF(単語!G:L,単語辞書!A286)</f>
        <v>15</v>
      </c>
      <c r="D286" s="202"/>
      <c r="E286" s="200" t="s">
        <v>5575</v>
      </c>
      <c r="F286" s="79"/>
    </row>
    <row r="287" spans="1:6" ht="13.5">
      <c r="A287" s="203" t="s">
        <v>2586</v>
      </c>
      <c r="B287" s="203" t="s">
        <v>5919</v>
      </c>
      <c r="C287" s="200">
        <f>COUNTIF(単語!G:L,単語辞書!A287)</f>
        <v>1</v>
      </c>
      <c r="D287" s="202"/>
      <c r="E287" s="200" t="s">
        <v>5575</v>
      </c>
      <c r="F287" s="79"/>
    </row>
    <row r="288" spans="1:6" ht="13.5">
      <c r="A288" s="203" t="s">
        <v>5918</v>
      </c>
      <c r="B288" s="203" t="s">
        <v>5917</v>
      </c>
      <c r="C288" s="200">
        <f>COUNTIF(単語!G:L,単語辞書!A288)</f>
        <v>1</v>
      </c>
      <c r="D288" s="202"/>
      <c r="E288" s="200" t="s">
        <v>5575</v>
      </c>
      <c r="F288" s="79"/>
    </row>
    <row r="289" spans="1:6" ht="13.5">
      <c r="A289" s="203" t="s">
        <v>5916</v>
      </c>
      <c r="B289" s="203" t="s">
        <v>5915</v>
      </c>
      <c r="C289" s="200">
        <f>COUNTIF(単語!G:L,単語辞書!A289)</f>
        <v>2</v>
      </c>
      <c r="D289" s="202"/>
      <c r="E289" s="200" t="s">
        <v>5575</v>
      </c>
      <c r="F289" s="79"/>
    </row>
    <row r="290" spans="1:6" ht="13.5">
      <c r="A290" s="203" t="s">
        <v>5914</v>
      </c>
      <c r="B290" s="203" t="s">
        <v>5913</v>
      </c>
      <c r="C290" s="200">
        <f>COUNTIF(単語!G:L,単語辞書!A290)</f>
        <v>2</v>
      </c>
      <c r="D290" s="202"/>
      <c r="E290" s="200" t="s">
        <v>5575</v>
      </c>
      <c r="F290" s="79"/>
    </row>
    <row r="291" spans="1:6" ht="13.5">
      <c r="A291" s="203" t="s">
        <v>5912</v>
      </c>
      <c r="B291" s="203" t="s">
        <v>5911</v>
      </c>
      <c r="C291" s="200">
        <f>COUNTIF(単語!G:L,単語辞書!A291)</f>
        <v>1</v>
      </c>
      <c r="D291" s="202"/>
      <c r="E291" s="200" t="s">
        <v>5575</v>
      </c>
      <c r="F291" s="79"/>
    </row>
    <row r="292" spans="1:6" ht="13.5">
      <c r="A292" s="203" t="s">
        <v>5910</v>
      </c>
      <c r="B292" s="203" t="s">
        <v>5909</v>
      </c>
      <c r="C292" s="200">
        <f>COUNTIF(単語!G:L,単語辞書!A292)</f>
        <v>0</v>
      </c>
      <c r="D292" s="202"/>
      <c r="E292" s="200" t="s">
        <v>5575</v>
      </c>
      <c r="F292" s="79"/>
    </row>
    <row r="293" spans="1:6" ht="13.5">
      <c r="A293" s="203" t="s">
        <v>5908</v>
      </c>
      <c r="B293" s="203" t="s">
        <v>5907</v>
      </c>
      <c r="C293" s="200">
        <f>COUNTIF(単語!G:L,単語辞書!A293)</f>
        <v>3</v>
      </c>
      <c r="D293" s="202"/>
      <c r="E293" s="200" t="s">
        <v>5575</v>
      </c>
      <c r="F293" s="79"/>
    </row>
    <row r="294" spans="1:6" ht="13.5">
      <c r="A294" s="203" t="s">
        <v>5906</v>
      </c>
      <c r="B294" s="203" t="s">
        <v>5905</v>
      </c>
      <c r="C294" s="200">
        <f>COUNTIF(単語!G:L,単語辞書!A294)</f>
        <v>2</v>
      </c>
      <c r="D294" s="202"/>
      <c r="E294" s="200" t="s">
        <v>5575</v>
      </c>
      <c r="F294" s="79"/>
    </row>
    <row r="295" spans="1:6" ht="13.5">
      <c r="A295" s="203" t="s">
        <v>5904</v>
      </c>
      <c r="B295" s="203" t="s">
        <v>5903</v>
      </c>
      <c r="C295" s="200">
        <f>COUNTIF(単語!G:L,単語辞書!A295)</f>
        <v>10</v>
      </c>
      <c r="D295" s="202"/>
      <c r="E295" s="200" t="s">
        <v>5575</v>
      </c>
      <c r="F295" s="79"/>
    </row>
    <row r="296" spans="1:6" ht="13.5">
      <c r="A296" s="203" t="s">
        <v>5902</v>
      </c>
      <c r="B296" s="203" t="s">
        <v>5901</v>
      </c>
      <c r="C296" s="200">
        <f>COUNTIF(単語!G:L,単語辞書!A296)</f>
        <v>40</v>
      </c>
      <c r="D296" s="202"/>
      <c r="E296" s="200" t="s">
        <v>5575</v>
      </c>
      <c r="F296" s="79"/>
    </row>
    <row r="297" spans="1:6" ht="13.5">
      <c r="A297" s="203" t="s">
        <v>5900</v>
      </c>
      <c r="B297" s="203" t="s">
        <v>5899</v>
      </c>
      <c r="C297" s="200">
        <f>COUNTIF(単語!G:L,単語辞書!A297)</f>
        <v>6</v>
      </c>
      <c r="D297" s="202"/>
      <c r="E297" s="200" t="s">
        <v>5575</v>
      </c>
      <c r="F297" s="79"/>
    </row>
    <row r="298" spans="1:6" ht="13.5">
      <c r="A298" s="203" t="s">
        <v>1875</v>
      </c>
      <c r="B298" s="203" t="s">
        <v>5898</v>
      </c>
      <c r="C298" s="200">
        <f>COUNTIF(単語!G:L,単語辞書!A298)</f>
        <v>1</v>
      </c>
      <c r="D298" s="202"/>
      <c r="E298" s="200" t="s">
        <v>5575</v>
      </c>
      <c r="F298" s="79"/>
    </row>
    <row r="299" spans="1:6" ht="13.5">
      <c r="A299" s="203" t="s">
        <v>5897</v>
      </c>
      <c r="B299" s="203" t="s">
        <v>5896</v>
      </c>
      <c r="C299" s="200">
        <f>COUNTIF(単語!G:L,単語辞書!A299)</f>
        <v>1</v>
      </c>
      <c r="D299" s="202"/>
      <c r="E299" s="200" t="s">
        <v>5575</v>
      </c>
      <c r="F299" s="79"/>
    </row>
    <row r="300" spans="1:6" ht="13.5">
      <c r="A300" s="203" t="s">
        <v>5895</v>
      </c>
      <c r="B300" s="203" t="s">
        <v>5894</v>
      </c>
      <c r="C300" s="200">
        <f>COUNTIF(単語!G:L,単語辞書!A300)</f>
        <v>1</v>
      </c>
      <c r="D300" s="202"/>
      <c r="E300" s="200" t="s">
        <v>5575</v>
      </c>
      <c r="F300" s="79"/>
    </row>
    <row r="301" spans="1:6" ht="13.5">
      <c r="A301" s="203" t="s">
        <v>5893</v>
      </c>
      <c r="B301" s="203" t="s">
        <v>5892</v>
      </c>
      <c r="C301" s="200">
        <f>COUNTIF(単語!G:L,単語辞書!A301)</f>
        <v>4</v>
      </c>
      <c r="D301" s="202"/>
      <c r="E301" s="200" t="s">
        <v>5575</v>
      </c>
      <c r="F301" s="79"/>
    </row>
    <row r="302" spans="1:6" ht="13.5">
      <c r="A302" s="203" t="s">
        <v>5891</v>
      </c>
      <c r="B302" s="203" t="s">
        <v>5890</v>
      </c>
      <c r="C302" s="200">
        <f>COUNTIF(単語!G:L,単語辞書!A302)</f>
        <v>7</v>
      </c>
      <c r="D302" s="202"/>
      <c r="E302" s="200" t="s">
        <v>5575</v>
      </c>
      <c r="F302" s="79"/>
    </row>
    <row r="303" spans="1:6" ht="13.5">
      <c r="A303" s="203" t="s">
        <v>5889</v>
      </c>
      <c r="B303" s="203" t="s">
        <v>5021</v>
      </c>
      <c r="C303" s="200">
        <f>COUNTIF(単語!G:L,単語辞書!A303)</f>
        <v>2</v>
      </c>
      <c r="D303" s="202"/>
      <c r="E303" s="200" t="s">
        <v>5575</v>
      </c>
      <c r="F303" s="79"/>
    </row>
    <row r="304" spans="1:6" ht="13.5">
      <c r="A304" s="203" t="s">
        <v>5888</v>
      </c>
      <c r="B304" s="203" t="s">
        <v>5887</v>
      </c>
      <c r="C304" s="200">
        <f>COUNTIF(単語!G:L,単語辞書!A304)</f>
        <v>1</v>
      </c>
      <c r="D304" s="202"/>
      <c r="E304" s="200" t="s">
        <v>5575</v>
      </c>
      <c r="F304" s="79"/>
    </row>
    <row r="305" spans="1:6" ht="13.5">
      <c r="A305" s="203" t="s">
        <v>5886</v>
      </c>
      <c r="B305" s="203" t="s">
        <v>5885</v>
      </c>
      <c r="C305" s="200">
        <f>COUNTIF(単語!G:L,単語辞書!A305)</f>
        <v>4</v>
      </c>
      <c r="D305" s="202"/>
      <c r="E305" s="200" t="s">
        <v>5575</v>
      </c>
      <c r="F305" s="79"/>
    </row>
    <row r="306" spans="1:6" ht="13.5">
      <c r="A306" s="203" t="s">
        <v>5884</v>
      </c>
      <c r="B306" s="203" t="s">
        <v>5883</v>
      </c>
      <c r="C306" s="200">
        <f>COUNTIF(単語!G:L,単語辞書!A306)</f>
        <v>1</v>
      </c>
      <c r="D306" s="202"/>
      <c r="E306" s="200" t="s">
        <v>5575</v>
      </c>
      <c r="F306" s="79"/>
    </row>
    <row r="307" spans="1:6" ht="13.5">
      <c r="A307" s="203" t="s">
        <v>5882</v>
      </c>
      <c r="B307" s="203" t="s">
        <v>5881</v>
      </c>
      <c r="C307" s="200">
        <f>COUNTIF(単語!G:L,単語辞書!A307)</f>
        <v>2</v>
      </c>
      <c r="D307" s="202"/>
      <c r="E307" s="200" t="s">
        <v>5575</v>
      </c>
      <c r="F307" s="79"/>
    </row>
    <row r="308" spans="1:6" ht="13.5">
      <c r="A308" s="203" t="s">
        <v>5880</v>
      </c>
      <c r="B308" s="203" t="s">
        <v>5879</v>
      </c>
      <c r="C308" s="200">
        <f>COUNTIF(単語!G:L,単語辞書!A308)</f>
        <v>7</v>
      </c>
      <c r="D308" s="202"/>
      <c r="E308" s="200" t="s">
        <v>5575</v>
      </c>
      <c r="F308" s="79"/>
    </row>
    <row r="309" spans="1:6" ht="13.5">
      <c r="A309" s="203" t="s">
        <v>5878</v>
      </c>
      <c r="B309" s="203" t="s">
        <v>5877</v>
      </c>
      <c r="C309" s="200">
        <f>COUNTIF(単語!G:L,単語辞書!A309)</f>
        <v>1</v>
      </c>
      <c r="D309" s="202"/>
      <c r="E309" s="200" t="s">
        <v>5575</v>
      </c>
      <c r="F309" s="79"/>
    </row>
    <row r="310" spans="1:6" ht="13.5">
      <c r="A310" s="203" t="s">
        <v>5876</v>
      </c>
      <c r="B310" s="203" t="s">
        <v>5875</v>
      </c>
      <c r="C310" s="200">
        <f>COUNTIF(単語!G:L,単語辞書!A310)</f>
        <v>10</v>
      </c>
      <c r="D310" s="202"/>
      <c r="E310" s="200" t="s">
        <v>5575</v>
      </c>
      <c r="F310" s="79"/>
    </row>
    <row r="311" spans="1:6" ht="13.5">
      <c r="A311" s="203" t="s">
        <v>5874</v>
      </c>
      <c r="B311" s="203" t="s">
        <v>5873</v>
      </c>
      <c r="C311" s="200">
        <f>COUNTIF(単語!G:L,単語辞書!A311)</f>
        <v>2</v>
      </c>
      <c r="D311" s="202"/>
      <c r="E311" s="200" t="s">
        <v>5575</v>
      </c>
      <c r="F311" s="79"/>
    </row>
    <row r="312" spans="1:6" ht="13.5">
      <c r="A312" s="203" t="s">
        <v>5872</v>
      </c>
      <c r="B312" s="203" t="s">
        <v>5871</v>
      </c>
      <c r="C312" s="200">
        <f>COUNTIF(単語!G:L,単語辞書!A312)</f>
        <v>1</v>
      </c>
      <c r="D312" s="202"/>
      <c r="E312" s="200" t="s">
        <v>5575</v>
      </c>
      <c r="F312" s="79"/>
    </row>
    <row r="313" spans="1:6" ht="13.5">
      <c r="A313" s="203" t="s">
        <v>5870</v>
      </c>
      <c r="B313" s="203" t="s">
        <v>5869</v>
      </c>
      <c r="C313" s="200">
        <f>COUNTIF(単語!G:L,単語辞書!A313)</f>
        <v>1</v>
      </c>
      <c r="D313" s="202"/>
      <c r="E313" s="200" t="s">
        <v>5575</v>
      </c>
      <c r="F313" s="79"/>
    </row>
    <row r="314" spans="1:6" ht="13.5">
      <c r="A314" s="203" t="s">
        <v>5868</v>
      </c>
      <c r="B314" s="203" t="s">
        <v>5867</v>
      </c>
      <c r="C314" s="200">
        <f>COUNTIF(単語!G:L,単語辞書!A314)</f>
        <v>7</v>
      </c>
      <c r="D314" s="202"/>
      <c r="E314" s="200" t="s">
        <v>5575</v>
      </c>
      <c r="F314" s="79"/>
    </row>
    <row r="315" spans="1:6" ht="13.5">
      <c r="A315" s="203" t="s">
        <v>5866</v>
      </c>
      <c r="B315" s="203" t="s">
        <v>5865</v>
      </c>
      <c r="C315" s="200">
        <f>COUNTIF(単語!G:L,単語辞書!A315)</f>
        <v>1</v>
      </c>
      <c r="D315" s="202"/>
      <c r="E315" s="200" t="s">
        <v>5575</v>
      </c>
      <c r="F315" s="79"/>
    </row>
    <row r="316" spans="1:6" ht="13.5">
      <c r="A316" s="203" t="s">
        <v>5864</v>
      </c>
      <c r="B316" s="203" t="s">
        <v>5863</v>
      </c>
      <c r="C316" s="200">
        <f>COUNTIF(単語!G:L,単語辞書!A316)</f>
        <v>3</v>
      </c>
      <c r="D316" s="202"/>
      <c r="E316" s="200" t="s">
        <v>5575</v>
      </c>
      <c r="F316" s="79"/>
    </row>
    <row r="317" spans="1:6" ht="13.5">
      <c r="A317" s="203" t="s">
        <v>5862</v>
      </c>
      <c r="B317" s="203" t="s">
        <v>5861</v>
      </c>
      <c r="C317" s="200">
        <f>COUNTIF(単語!G:L,単語辞書!A317)</f>
        <v>60</v>
      </c>
      <c r="D317" s="202"/>
      <c r="E317" s="200" t="s">
        <v>5575</v>
      </c>
      <c r="F317" s="79"/>
    </row>
    <row r="318" spans="1:6" ht="13.5">
      <c r="A318" s="203" t="s">
        <v>5860</v>
      </c>
      <c r="B318" s="203" t="s">
        <v>5859</v>
      </c>
      <c r="C318" s="200">
        <f>COUNTIF(単語!G:L,単語辞書!A318)</f>
        <v>1</v>
      </c>
      <c r="D318" s="202"/>
      <c r="E318" s="200" t="s">
        <v>5575</v>
      </c>
      <c r="F318" s="79"/>
    </row>
    <row r="319" spans="1:6" ht="13.5">
      <c r="A319" s="203" t="s">
        <v>5858</v>
      </c>
      <c r="B319" s="203" t="s">
        <v>5857</v>
      </c>
      <c r="C319" s="200">
        <f>COUNTIF(単語!G:L,単語辞書!A319)</f>
        <v>1</v>
      </c>
      <c r="D319" s="202"/>
      <c r="E319" s="200" t="s">
        <v>5575</v>
      </c>
      <c r="F319" s="79"/>
    </row>
    <row r="320" spans="1:6" ht="13.5">
      <c r="A320" s="203" t="s">
        <v>5856</v>
      </c>
      <c r="B320" s="203" t="s">
        <v>5855</v>
      </c>
      <c r="C320" s="200">
        <f>COUNTIF(単語!G:L,単語辞書!A320)</f>
        <v>23</v>
      </c>
      <c r="D320" s="202"/>
      <c r="E320" s="200" t="s">
        <v>5575</v>
      </c>
      <c r="F320" s="79"/>
    </row>
    <row r="321" spans="1:6" ht="13.5">
      <c r="A321" s="203" t="s">
        <v>5854</v>
      </c>
      <c r="B321" s="203" t="s">
        <v>5853</v>
      </c>
      <c r="C321" s="200">
        <f>COUNTIF(単語!G:L,単語辞書!A321)</f>
        <v>1</v>
      </c>
      <c r="D321" s="202"/>
      <c r="E321" s="200" t="s">
        <v>5575</v>
      </c>
      <c r="F321" s="79"/>
    </row>
    <row r="322" spans="1:6" ht="13.5">
      <c r="A322" s="203" t="s">
        <v>5852</v>
      </c>
      <c r="B322" s="203" t="s">
        <v>5851</v>
      </c>
      <c r="C322" s="200">
        <f>COUNTIF(単語!G:L,単語辞書!A322)</f>
        <v>2</v>
      </c>
      <c r="D322" s="202"/>
      <c r="E322" s="200" t="s">
        <v>5575</v>
      </c>
      <c r="F322" s="79"/>
    </row>
    <row r="323" spans="1:6" ht="13.5">
      <c r="A323" s="203" t="s">
        <v>5850</v>
      </c>
      <c r="B323" s="203" t="s">
        <v>5849</v>
      </c>
      <c r="C323" s="200">
        <f>COUNTIF(単語!G:L,単語辞書!A323)</f>
        <v>1</v>
      </c>
      <c r="D323" s="202"/>
      <c r="E323" s="200" t="s">
        <v>5575</v>
      </c>
      <c r="F323" s="79"/>
    </row>
    <row r="324" spans="1:6" ht="13.5">
      <c r="A324" s="203" t="s">
        <v>5848</v>
      </c>
      <c r="B324" s="203" t="s">
        <v>5847</v>
      </c>
      <c r="C324" s="200">
        <f>COUNTIF(単語!G:L,単語辞書!A324)</f>
        <v>3</v>
      </c>
      <c r="D324" s="202"/>
      <c r="E324" s="200" t="s">
        <v>5575</v>
      </c>
      <c r="F324" s="79"/>
    </row>
    <row r="325" spans="1:6" ht="13.5">
      <c r="A325" s="203" t="s">
        <v>5846</v>
      </c>
      <c r="B325" s="203" t="s">
        <v>5845</v>
      </c>
      <c r="C325" s="200">
        <f>COUNTIF(単語!G:L,単語辞書!A325)</f>
        <v>1</v>
      </c>
      <c r="D325" s="202"/>
      <c r="E325" s="200" t="s">
        <v>5575</v>
      </c>
      <c r="F325" s="79"/>
    </row>
    <row r="326" spans="1:6" ht="13.5">
      <c r="A326" s="203" t="s">
        <v>5844</v>
      </c>
      <c r="B326" s="203" t="s">
        <v>5843</v>
      </c>
      <c r="C326" s="200">
        <f>COUNTIF(単語!G:L,単語辞書!A326)</f>
        <v>1</v>
      </c>
      <c r="D326" s="202"/>
      <c r="E326" s="200" t="s">
        <v>5575</v>
      </c>
      <c r="F326" s="79"/>
    </row>
    <row r="327" spans="1:6" ht="13.5">
      <c r="A327" s="203" t="s">
        <v>5842</v>
      </c>
      <c r="B327" s="203" t="s">
        <v>5841</v>
      </c>
      <c r="C327" s="200">
        <f>COUNTIF(単語!G:L,単語辞書!A327)</f>
        <v>5</v>
      </c>
      <c r="D327" s="202"/>
      <c r="E327" s="200" t="s">
        <v>5575</v>
      </c>
      <c r="F327" s="79"/>
    </row>
    <row r="328" spans="1:6" ht="13.5">
      <c r="A328" s="203" t="s">
        <v>5840</v>
      </c>
      <c r="B328" s="203" t="s">
        <v>5839</v>
      </c>
      <c r="C328" s="200">
        <f>COUNTIF(単語!G:L,単語辞書!A328)</f>
        <v>2</v>
      </c>
      <c r="D328" s="202"/>
      <c r="E328" s="200" t="s">
        <v>5575</v>
      </c>
      <c r="F328" s="79"/>
    </row>
    <row r="329" spans="1:6" ht="13.5">
      <c r="A329" s="203" t="s">
        <v>5838</v>
      </c>
      <c r="B329" s="203" t="s">
        <v>5837</v>
      </c>
      <c r="C329" s="200">
        <f>COUNTIF(単語!G:L,単語辞書!A329)</f>
        <v>1</v>
      </c>
      <c r="D329" s="202"/>
      <c r="E329" s="200" t="s">
        <v>5575</v>
      </c>
      <c r="F329" s="79"/>
    </row>
    <row r="330" spans="1:6" ht="13.5">
      <c r="A330" s="203" t="s">
        <v>3853</v>
      </c>
      <c r="B330" s="203" t="s">
        <v>5836</v>
      </c>
      <c r="C330" s="200">
        <f>COUNTIF(単語!G:L,単語辞書!A330)</f>
        <v>2</v>
      </c>
      <c r="D330" s="202"/>
      <c r="E330" s="200" t="s">
        <v>5575</v>
      </c>
      <c r="F330" s="79"/>
    </row>
    <row r="331" spans="1:6" ht="13.5">
      <c r="A331" s="203" t="s">
        <v>5835</v>
      </c>
      <c r="B331" s="203" t="s">
        <v>5834</v>
      </c>
      <c r="C331" s="200">
        <f>COUNTIF(単語!G:L,単語辞書!A331)</f>
        <v>0</v>
      </c>
      <c r="D331" s="202"/>
      <c r="E331" s="200" t="s">
        <v>5575</v>
      </c>
      <c r="F331" s="79"/>
    </row>
    <row r="332" spans="1:6" ht="13.5">
      <c r="A332" s="203" t="s">
        <v>5833</v>
      </c>
      <c r="B332" s="203" t="s">
        <v>5832</v>
      </c>
      <c r="C332" s="200">
        <f>COUNTIF(単語!G:L,単語辞書!A332)</f>
        <v>2</v>
      </c>
      <c r="D332" s="202"/>
      <c r="E332" s="200" t="s">
        <v>5575</v>
      </c>
      <c r="F332" s="79"/>
    </row>
    <row r="333" spans="1:6" ht="13.5">
      <c r="A333" s="203" t="s">
        <v>5831</v>
      </c>
      <c r="B333" s="203" t="s">
        <v>5830</v>
      </c>
      <c r="C333" s="200">
        <f>COUNTIF(単語!G:L,単語辞書!A333)</f>
        <v>4</v>
      </c>
      <c r="D333" s="202"/>
      <c r="E333" s="200" t="s">
        <v>5575</v>
      </c>
      <c r="F333" s="79"/>
    </row>
    <row r="334" spans="1:6" ht="13.5">
      <c r="A334" s="203" t="s">
        <v>5829</v>
      </c>
      <c r="B334" s="203" t="s">
        <v>5828</v>
      </c>
      <c r="C334" s="200">
        <f>COUNTIF(単語!G:L,単語辞書!A334)</f>
        <v>1</v>
      </c>
      <c r="D334" s="202"/>
      <c r="E334" s="200" t="s">
        <v>5575</v>
      </c>
      <c r="F334" s="79"/>
    </row>
    <row r="335" spans="1:6" ht="13.5">
      <c r="A335" s="203" t="s">
        <v>4423</v>
      </c>
      <c r="B335" s="203" t="s">
        <v>5827</v>
      </c>
      <c r="C335" s="200">
        <f>COUNTIF(単語!G:L,単語辞書!A335)</f>
        <v>1</v>
      </c>
      <c r="D335" s="202"/>
      <c r="E335" s="200" t="s">
        <v>5575</v>
      </c>
      <c r="F335" s="79"/>
    </row>
    <row r="336" spans="1:6" ht="13.5">
      <c r="A336" s="203" t="s">
        <v>5826</v>
      </c>
      <c r="B336" s="203" t="s">
        <v>5825</v>
      </c>
      <c r="C336" s="200">
        <f>COUNTIF(単語!G:L,単語辞書!A336)</f>
        <v>9</v>
      </c>
      <c r="D336" s="202"/>
      <c r="E336" s="200" t="s">
        <v>5575</v>
      </c>
      <c r="F336" s="79"/>
    </row>
    <row r="337" spans="1:6" ht="13.5">
      <c r="A337" s="203" t="s">
        <v>5824</v>
      </c>
      <c r="B337" s="203" t="s">
        <v>5823</v>
      </c>
      <c r="C337" s="200">
        <f>COUNTIF(単語!G:L,単語辞書!A337)</f>
        <v>1</v>
      </c>
      <c r="D337" s="202"/>
      <c r="E337" s="200" t="s">
        <v>5575</v>
      </c>
      <c r="F337" s="79"/>
    </row>
    <row r="338" spans="1:6" ht="13.5">
      <c r="A338" s="203" t="s">
        <v>5822</v>
      </c>
      <c r="B338" s="203" t="s">
        <v>5821</v>
      </c>
      <c r="C338" s="200">
        <f>COUNTIF(単語!G:L,単語辞書!A338)</f>
        <v>2</v>
      </c>
      <c r="D338" s="202"/>
      <c r="E338" s="200" t="s">
        <v>5575</v>
      </c>
      <c r="F338" s="79"/>
    </row>
    <row r="339" spans="1:6" ht="13.5">
      <c r="A339" s="203" t="s">
        <v>5820</v>
      </c>
      <c r="B339" s="203" t="s">
        <v>5819</v>
      </c>
      <c r="C339" s="200">
        <f>COUNTIF(単語!G:L,単語辞書!A339)</f>
        <v>1</v>
      </c>
      <c r="D339" s="202"/>
      <c r="E339" s="200" t="s">
        <v>5575</v>
      </c>
      <c r="F339" s="79"/>
    </row>
    <row r="340" spans="1:6" ht="13.5">
      <c r="A340" s="203" t="s">
        <v>5818</v>
      </c>
      <c r="B340" s="203" t="s">
        <v>5817</v>
      </c>
      <c r="C340" s="200">
        <f>COUNTIF(単語!G:L,単語辞書!A340)</f>
        <v>7</v>
      </c>
      <c r="D340" s="202"/>
      <c r="E340" s="200" t="s">
        <v>5575</v>
      </c>
      <c r="F340" s="79"/>
    </row>
    <row r="341" spans="1:6" ht="13.5">
      <c r="A341" s="203" t="s">
        <v>5816</v>
      </c>
      <c r="B341" s="203" t="s">
        <v>5815</v>
      </c>
      <c r="C341" s="200">
        <f>COUNTIF(単語!G:L,単語辞書!A341)</f>
        <v>12</v>
      </c>
      <c r="D341" s="202"/>
      <c r="E341" s="200" t="s">
        <v>5575</v>
      </c>
      <c r="F341" s="79"/>
    </row>
    <row r="342" spans="1:6" ht="13.5">
      <c r="A342" s="203" t="s">
        <v>5814</v>
      </c>
      <c r="B342" s="203" t="s">
        <v>5813</v>
      </c>
      <c r="C342" s="200">
        <f>COUNTIF(単語!G:L,単語辞書!A342)</f>
        <v>0</v>
      </c>
      <c r="D342" s="202"/>
      <c r="E342" s="200" t="s">
        <v>5575</v>
      </c>
      <c r="F342" s="79"/>
    </row>
    <row r="343" spans="1:6" ht="13.5">
      <c r="A343" s="203" t="s">
        <v>5812</v>
      </c>
      <c r="B343" s="203" t="s">
        <v>5811</v>
      </c>
      <c r="C343" s="200">
        <f>COUNTIF(単語!G:L,単語辞書!A343)</f>
        <v>1</v>
      </c>
      <c r="D343" s="202"/>
      <c r="E343" s="200" t="s">
        <v>5575</v>
      </c>
      <c r="F343" s="79"/>
    </row>
    <row r="344" spans="1:6" ht="13.5">
      <c r="A344" s="203" t="s">
        <v>3837</v>
      </c>
      <c r="B344" s="203" t="s">
        <v>5810</v>
      </c>
      <c r="C344" s="200">
        <f>COUNTIF(単語!G:L,単語辞書!A344)</f>
        <v>1</v>
      </c>
      <c r="D344" s="202"/>
      <c r="E344" s="200" t="s">
        <v>5575</v>
      </c>
      <c r="F344" s="79"/>
    </row>
    <row r="345" spans="1:6" ht="13.5">
      <c r="A345" s="203" t="s">
        <v>5809</v>
      </c>
      <c r="B345" s="203" t="s">
        <v>5808</v>
      </c>
      <c r="C345" s="200">
        <f>COUNTIF(単語!G:L,単語辞書!A345)</f>
        <v>12</v>
      </c>
      <c r="D345" s="202"/>
      <c r="E345" s="200" t="s">
        <v>5575</v>
      </c>
      <c r="F345" s="79"/>
    </row>
    <row r="346" spans="1:6" ht="13.5">
      <c r="A346" s="203" t="s">
        <v>4279</v>
      </c>
      <c r="B346" s="203" t="s">
        <v>5807</v>
      </c>
      <c r="C346" s="200">
        <f>COUNTIF(単語!G:L,単語辞書!A346)</f>
        <v>1</v>
      </c>
      <c r="D346" s="202"/>
      <c r="E346" s="200" t="s">
        <v>5575</v>
      </c>
      <c r="F346" s="79"/>
    </row>
    <row r="347" spans="1:6" ht="13.5">
      <c r="A347" s="203" t="s">
        <v>5806</v>
      </c>
      <c r="B347" s="203" t="s">
        <v>5805</v>
      </c>
      <c r="C347" s="200">
        <f>COUNTIF(単語!G:L,単語辞書!A347)</f>
        <v>1</v>
      </c>
      <c r="D347" s="202"/>
      <c r="E347" s="200" t="s">
        <v>5575</v>
      </c>
      <c r="F347" s="79"/>
    </row>
    <row r="348" spans="1:6" ht="13.5">
      <c r="A348" s="203" t="s">
        <v>5804</v>
      </c>
      <c r="B348" s="203" t="s">
        <v>5803</v>
      </c>
      <c r="C348" s="200">
        <f>COUNTIF(単語!G:L,単語辞書!A348)</f>
        <v>3</v>
      </c>
      <c r="D348" s="202"/>
      <c r="E348" s="200" t="s">
        <v>5575</v>
      </c>
      <c r="F348" s="79"/>
    </row>
    <row r="349" spans="1:6" ht="13.5">
      <c r="A349" s="203" t="s">
        <v>5802</v>
      </c>
      <c r="B349" s="203" t="s">
        <v>5786</v>
      </c>
      <c r="C349" s="200">
        <f>COUNTIF(単語!G:L,単語辞書!A349)</f>
        <v>2</v>
      </c>
      <c r="D349" s="202"/>
      <c r="E349" s="200" t="s">
        <v>5575</v>
      </c>
      <c r="F349" s="79"/>
    </row>
    <row r="350" spans="1:6" ht="13.5">
      <c r="A350" s="203" t="s">
        <v>5801</v>
      </c>
      <c r="B350" s="203" t="s">
        <v>5800</v>
      </c>
      <c r="C350" s="200">
        <f>COUNTIF(単語!G:L,単語辞書!A350)</f>
        <v>20</v>
      </c>
      <c r="D350" s="202"/>
      <c r="E350" s="200" t="s">
        <v>5575</v>
      </c>
      <c r="F350" s="79"/>
    </row>
    <row r="351" spans="1:6" ht="13.5">
      <c r="A351" s="203" t="s">
        <v>5799</v>
      </c>
      <c r="B351" s="203" t="s">
        <v>5798</v>
      </c>
      <c r="C351" s="200">
        <f>COUNTIF(単語!G:L,単語辞書!A351)</f>
        <v>4</v>
      </c>
      <c r="D351" s="202"/>
      <c r="E351" s="200" t="s">
        <v>5575</v>
      </c>
      <c r="F351" s="79"/>
    </row>
    <row r="352" spans="1:6" ht="13.5">
      <c r="A352" s="203" t="s">
        <v>5797</v>
      </c>
      <c r="B352" s="203" t="s">
        <v>5796</v>
      </c>
      <c r="C352" s="200">
        <f>COUNTIF(単語!G:L,単語辞書!A352)</f>
        <v>1</v>
      </c>
      <c r="D352" s="202"/>
      <c r="E352" s="200" t="s">
        <v>5575</v>
      </c>
      <c r="F352" s="79"/>
    </row>
    <row r="353" spans="1:6" ht="13.5">
      <c r="A353" s="203" t="s">
        <v>864</v>
      </c>
      <c r="B353" s="203" t="s">
        <v>5795</v>
      </c>
      <c r="C353" s="200">
        <f>COUNTIF(単語!G:L,単語辞書!A353)</f>
        <v>69</v>
      </c>
      <c r="D353" s="202"/>
      <c r="E353" s="200" t="s">
        <v>5575</v>
      </c>
      <c r="F353" s="79"/>
    </row>
    <row r="354" spans="1:6" ht="13.5">
      <c r="A354" s="203" t="s">
        <v>3823</v>
      </c>
      <c r="B354" s="203" t="s">
        <v>5794</v>
      </c>
      <c r="C354" s="200">
        <f>COUNTIF(単語!G:L,単語辞書!A354)</f>
        <v>1</v>
      </c>
      <c r="D354" s="202"/>
      <c r="E354" s="200" t="s">
        <v>5575</v>
      </c>
      <c r="F354" s="79"/>
    </row>
    <row r="355" spans="1:6" ht="13.5">
      <c r="A355" s="203" t="s">
        <v>5793</v>
      </c>
      <c r="B355" s="203" t="s">
        <v>5792</v>
      </c>
      <c r="C355" s="200">
        <f>COUNTIF(単語!G:L,単語辞書!A355)</f>
        <v>2</v>
      </c>
      <c r="D355" s="202"/>
      <c r="E355" s="200" t="s">
        <v>5575</v>
      </c>
      <c r="F355" s="79"/>
    </row>
    <row r="356" spans="1:6" ht="13.5">
      <c r="A356" s="203" t="s">
        <v>5791</v>
      </c>
      <c r="B356" s="203" t="s">
        <v>5790</v>
      </c>
      <c r="C356" s="200">
        <f>COUNTIF(単語!G:L,単語辞書!A356)</f>
        <v>2</v>
      </c>
      <c r="D356" s="202"/>
      <c r="E356" s="200" t="s">
        <v>5575</v>
      </c>
      <c r="F356" s="79"/>
    </row>
    <row r="357" spans="1:6" ht="13.5">
      <c r="A357" s="203" t="s">
        <v>5789</v>
      </c>
      <c r="B357" s="203" t="s">
        <v>5788</v>
      </c>
      <c r="C357" s="200">
        <f>COUNTIF(単語!G:L,単語辞書!A357)</f>
        <v>5</v>
      </c>
      <c r="D357" s="202"/>
      <c r="E357" s="200" t="s">
        <v>5575</v>
      </c>
      <c r="F357" s="79"/>
    </row>
    <row r="358" spans="1:6" ht="13.5">
      <c r="A358" s="203" t="s">
        <v>5787</v>
      </c>
      <c r="B358" s="203" t="s">
        <v>5786</v>
      </c>
      <c r="C358" s="200">
        <f>COUNTIF(単語!G:L,単語辞書!A358)</f>
        <v>1</v>
      </c>
      <c r="D358" s="202"/>
      <c r="E358" s="200" t="s">
        <v>5575</v>
      </c>
      <c r="F358" s="79"/>
    </row>
    <row r="359" spans="1:6" ht="13.5">
      <c r="A359" s="203" t="s">
        <v>5785</v>
      </c>
      <c r="B359" s="203" t="s">
        <v>4694</v>
      </c>
      <c r="C359" s="200">
        <f>COUNTIF(単語!G:L,単語辞書!A359)</f>
        <v>1</v>
      </c>
      <c r="D359" s="202"/>
      <c r="E359" s="200" t="s">
        <v>5575</v>
      </c>
      <c r="F359" s="79"/>
    </row>
    <row r="360" spans="1:6" ht="13.5">
      <c r="A360" s="203" t="s">
        <v>5784</v>
      </c>
      <c r="B360" s="203" t="s">
        <v>5783</v>
      </c>
      <c r="C360" s="200">
        <f>COUNTIF(単語!G:L,単語辞書!A360)</f>
        <v>3</v>
      </c>
      <c r="D360" s="202"/>
      <c r="E360" s="200" t="s">
        <v>5575</v>
      </c>
      <c r="F360" s="79"/>
    </row>
    <row r="361" spans="1:6" ht="13.5">
      <c r="A361" s="203" t="s">
        <v>5782</v>
      </c>
      <c r="B361" s="203" t="s">
        <v>5781</v>
      </c>
      <c r="C361" s="200">
        <f>COUNTIF(単語!G:L,単語辞書!A361)</f>
        <v>2</v>
      </c>
      <c r="D361" s="202"/>
      <c r="E361" s="200" t="s">
        <v>5575</v>
      </c>
      <c r="F361" s="79"/>
    </row>
    <row r="362" spans="1:6" ht="13.5">
      <c r="A362" s="203" t="s">
        <v>850</v>
      </c>
      <c r="B362" s="203" t="s">
        <v>5780</v>
      </c>
      <c r="C362" s="200">
        <f>COUNTIF(単語!G:L,単語辞書!A362)</f>
        <v>24</v>
      </c>
      <c r="D362" s="202"/>
      <c r="E362" s="200" t="s">
        <v>5575</v>
      </c>
      <c r="F362" s="79"/>
    </row>
    <row r="363" spans="1:6" ht="13.5">
      <c r="A363" s="203" t="s">
        <v>5779</v>
      </c>
      <c r="B363" s="203" t="s">
        <v>5778</v>
      </c>
      <c r="C363" s="200">
        <f>COUNTIF(単語!G:L,単語辞書!A363)</f>
        <v>5</v>
      </c>
      <c r="D363" s="202"/>
      <c r="E363" s="200" t="s">
        <v>5575</v>
      </c>
      <c r="F363" s="79"/>
    </row>
    <row r="364" spans="1:6" ht="13.5">
      <c r="A364" s="203" t="s">
        <v>5777</v>
      </c>
      <c r="B364" s="203" t="s">
        <v>5776</v>
      </c>
      <c r="C364" s="200">
        <f>COUNTIF(単語!G:L,単語辞書!A364)</f>
        <v>1</v>
      </c>
      <c r="D364" s="202"/>
      <c r="E364" s="200" t="s">
        <v>5575</v>
      </c>
      <c r="F364" s="79"/>
    </row>
    <row r="365" spans="1:6" ht="13.5">
      <c r="A365" s="203" t="s">
        <v>5775</v>
      </c>
      <c r="B365" s="203" t="s">
        <v>5774</v>
      </c>
      <c r="C365" s="200">
        <f>COUNTIF(単語!G:L,単語辞書!A365)</f>
        <v>3</v>
      </c>
      <c r="D365" s="202"/>
      <c r="E365" s="200" t="s">
        <v>5575</v>
      </c>
      <c r="F365" s="79"/>
    </row>
    <row r="366" spans="1:6" ht="13.5">
      <c r="A366" s="203" t="s">
        <v>5773</v>
      </c>
      <c r="B366" s="203" t="s">
        <v>5772</v>
      </c>
      <c r="C366" s="200">
        <f>COUNTIF(単語!G:L,単語辞書!A366)</f>
        <v>9</v>
      </c>
      <c r="D366" s="202" t="s">
        <v>5771</v>
      </c>
      <c r="E366" s="200" t="s">
        <v>5575</v>
      </c>
      <c r="F366" s="79"/>
    </row>
    <row r="367" spans="1:6" ht="13.5">
      <c r="A367" s="203" t="s">
        <v>5770</v>
      </c>
      <c r="B367" s="203" t="s">
        <v>5769</v>
      </c>
      <c r="C367" s="200">
        <f>COUNTIF(単語!G:L,単語辞書!A367)</f>
        <v>2</v>
      </c>
      <c r="D367" s="202"/>
      <c r="E367" s="200" t="s">
        <v>5575</v>
      </c>
      <c r="F367" s="79"/>
    </row>
    <row r="368" spans="1:6" ht="13.5">
      <c r="A368" s="203" t="s">
        <v>5768</v>
      </c>
      <c r="B368" s="203" t="s">
        <v>121</v>
      </c>
      <c r="C368" s="200">
        <f>COUNTIF(単語!G:L,単語辞書!A368)</f>
        <v>2</v>
      </c>
      <c r="D368" s="202"/>
      <c r="E368" s="200" t="s">
        <v>5575</v>
      </c>
      <c r="F368" s="79"/>
    </row>
    <row r="369" spans="1:6" ht="13.5">
      <c r="A369" s="203" t="s">
        <v>5767</v>
      </c>
      <c r="B369" s="203" t="s">
        <v>5766</v>
      </c>
      <c r="C369" s="200">
        <f>COUNTIF(単語!G:L,単語辞書!A369)</f>
        <v>5</v>
      </c>
      <c r="D369" s="202"/>
      <c r="E369" s="200" t="s">
        <v>5575</v>
      </c>
      <c r="F369" s="79"/>
    </row>
    <row r="370" spans="1:6" ht="13.5">
      <c r="A370" s="203" t="s">
        <v>5765</v>
      </c>
      <c r="B370" s="203" t="s">
        <v>5764</v>
      </c>
      <c r="C370" s="200">
        <f>COUNTIF(単語!G:L,単語辞書!A370)</f>
        <v>21</v>
      </c>
      <c r="D370" s="202"/>
      <c r="E370" s="200" t="s">
        <v>5575</v>
      </c>
      <c r="F370" s="79"/>
    </row>
    <row r="371" spans="1:6" ht="13.5">
      <c r="A371" s="203" t="s">
        <v>5763</v>
      </c>
      <c r="B371" s="203" t="s">
        <v>5762</v>
      </c>
      <c r="C371" s="200">
        <f>COUNTIF(単語!G:L,単語辞書!A371)</f>
        <v>40</v>
      </c>
      <c r="D371" s="202"/>
      <c r="E371" s="200" t="s">
        <v>5575</v>
      </c>
      <c r="F371" s="79"/>
    </row>
    <row r="372" spans="1:6" ht="13.5">
      <c r="A372" s="203" t="s">
        <v>5761</v>
      </c>
      <c r="B372" s="203" t="s">
        <v>5760</v>
      </c>
      <c r="C372" s="200">
        <f>COUNTIF(単語!G:L,単語辞書!A372)</f>
        <v>1</v>
      </c>
      <c r="D372" s="202"/>
      <c r="E372" s="200" t="s">
        <v>5575</v>
      </c>
      <c r="F372" s="79"/>
    </row>
    <row r="373" spans="1:6" ht="13.5">
      <c r="A373" s="203" t="s">
        <v>5759</v>
      </c>
      <c r="B373" s="203" t="s">
        <v>5758</v>
      </c>
      <c r="C373" s="200">
        <f>COUNTIF(単語!G:L,単語辞書!A373)</f>
        <v>2</v>
      </c>
      <c r="D373" s="202"/>
      <c r="E373" s="200" t="s">
        <v>5575</v>
      </c>
      <c r="F373" s="79"/>
    </row>
    <row r="374" spans="1:6" ht="13.5">
      <c r="A374" s="203" t="s">
        <v>5757</v>
      </c>
      <c r="B374" s="203" t="s">
        <v>5756</v>
      </c>
      <c r="C374" s="200">
        <f>COUNTIF(単語!G:L,単語辞書!A374)</f>
        <v>25</v>
      </c>
      <c r="D374" s="202"/>
      <c r="E374" s="200" t="s">
        <v>5575</v>
      </c>
      <c r="F374" s="79"/>
    </row>
    <row r="375" spans="1:6" ht="13.5">
      <c r="A375" s="203" t="s">
        <v>5755</v>
      </c>
      <c r="B375" s="203" t="s">
        <v>5754</v>
      </c>
      <c r="C375" s="200">
        <f>COUNTIF(単語!G:L,単語辞書!A375)</f>
        <v>1</v>
      </c>
      <c r="D375" s="202"/>
      <c r="E375" s="200" t="s">
        <v>5575</v>
      </c>
      <c r="F375" s="79"/>
    </row>
    <row r="376" spans="1:6" ht="13.5">
      <c r="A376" s="203" t="s">
        <v>5753</v>
      </c>
      <c r="B376" s="203" t="s">
        <v>5752</v>
      </c>
      <c r="C376" s="200">
        <f>COUNTIF(単語!G:L,単語辞書!A376)</f>
        <v>74</v>
      </c>
      <c r="D376" s="202" t="s">
        <v>5751</v>
      </c>
      <c r="E376" s="200" t="s">
        <v>5575</v>
      </c>
      <c r="F376" s="79"/>
    </row>
    <row r="377" spans="1:6" ht="13.5">
      <c r="A377" s="203" t="s">
        <v>2871</v>
      </c>
      <c r="B377" s="203" t="s">
        <v>5750</v>
      </c>
      <c r="C377" s="200">
        <f>COUNTIF(単語!G:L,単語辞書!A377)</f>
        <v>7</v>
      </c>
      <c r="D377" s="202"/>
      <c r="E377" s="200" t="s">
        <v>5575</v>
      </c>
      <c r="F377" s="79"/>
    </row>
    <row r="378" spans="1:6" ht="13.5">
      <c r="A378" s="203" t="s">
        <v>5749</v>
      </c>
      <c r="B378" s="203" t="s">
        <v>5748</v>
      </c>
      <c r="C378" s="200">
        <f>COUNTIF(単語!G:L,単語辞書!A378)</f>
        <v>1</v>
      </c>
      <c r="D378" s="202"/>
      <c r="E378" s="200" t="s">
        <v>5575</v>
      </c>
      <c r="F378" s="79"/>
    </row>
    <row r="379" spans="1:6" ht="13.5">
      <c r="A379" s="203" t="s">
        <v>5747</v>
      </c>
      <c r="B379" s="203" t="s">
        <v>5746</v>
      </c>
      <c r="C379" s="200">
        <f>COUNTIF(単語!G:L,単語辞書!A379)</f>
        <v>1</v>
      </c>
      <c r="D379" s="202"/>
      <c r="E379" s="200" t="s">
        <v>5575</v>
      </c>
      <c r="F379" s="79"/>
    </row>
    <row r="380" spans="1:6" ht="13.5">
      <c r="A380" s="203" t="s">
        <v>5745</v>
      </c>
      <c r="B380" s="203" t="s">
        <v>5744</v>
      </c>
      <c r="C380" s="200">
        <f>COUNTIF(単語!G:L,単語辞書!A380)</f>
        <v>7</v>
      </c>
      <c r="D380" s="202"/>
      <c r="E380" s="200" t="s">
        <v>5575</v>
      </c>
      <c r="F380" s="79"/>
    </row>
    <row r="381" spans="1:6" ht="13.5">
      <c r="A381" s="203" t="s">
        <v>5743</v>
      </c>
      <c r="B381" s="203" t="s">
        <v>5742</v>
      </c>
      <c r="C381" s="200">
        <f>COUNTIF(単語!G:L,単語辞書!A381)</f>
        <v>1</v>
      </c>
      <c r="D381" s="202"/>
      <c r="E381" s="200" t="s">
        <v>5575</v>
      </c>
      <c r="F381" s="79"/>
    </row>
    <row r="382" spans="1:6" ht="13.5">
      <c r="A382" s="203" t="s">
        <v>5741</v>
      </c>
      <c r="B382" s="203" t="s">
        <v>5740</v>
      </c>
      <c r="C382" s="200">
        <f>COUNTIF(単語!G:L,単語辞書!A382)</f>
        <v>3</v>
      </c>
      <c r="D382" s="202"/>
      <c r="E382" s="200" t="s">
        <v>5575</v>
      </c>
      <c r="F382" s="79"/>
    </row>
    <row r="383" spans="1:6" ht="13.5">
      <c r="A383" s="203" t="s">
        <v>5739</v>
      </c>
      <c r="B383" s="203" t="s">
        <v>5738</v>
      </c>
      <c r="C383" s="200">
        <f>COUNTIF(単語!G:L,単語辞書!A383)</f>
        <v>4</v>
      </c>
      <c r="D383" s="202"/>
      <c r="E383" s="200" t="s">
        <v>5575</v>
      </c>
      <c r="F383" s="79"/>
    </row>
    <row r="384" spans="1:6" ht="13.5">
      <c r="A384" s="203" t="s">
        <v>5737</v>
      </c>
      <c r="B384" s="203" t="s">
        <v>5736</v>
      </c>
      <c r="C384" s="200">
        <f>COUNTIF(単語!G:L,単語辞書!A384)</f>
        <v>6</v>
      </c>
      <c r="D384" s="202" t="s">
        <v>5735</v>
      </c>
      <c r="E384" s="200" t="s">
        <v>5575</v>
      </c>
      <c r="F384" s="79"/>
    </row>
    <row r="385" spans="1:6" ht="13.5">
      <c r="A385" s="203" t="s">
        <v>2483</v>
      </c>
      <c r="B385" s="203" t="s">
        <v>5734</v>
      </c>
      <c r="C385" s="200">
        <f>COUNTIF(単語!G:L,単語辞書!A385)</f>
        <v>1</v>
      </c>
      <c r="D385" s="202"/>
      <c r="E385" s="200" t="s">
        <v>5575</v>
      </c>
      <c r="F385" s="79"/>
    </row>
    <row r="386" spans="1:6" ht="13.5">
      <c r="A386" s="203" t="s">
        <v>3757</v>
      </c>
      <c r="B386" s="203" t="s">
        <v>5733</v>
      </c>
      <c r="C386" s="200">
        <f>COUNTIF(単語!G:L,単語辞書!A386)</f>
        <v>1</v>
      </c>
      <c r="D386" s="202"/>
      <c r="E386" s="200" t="s">
        <v>5575</v>
      </c>
      <c r="F386" s="79"/>
    </row>
    <row r="387" spans="1:6" ht="13.5">
      <c r="A387" s="203" t="s">
        <v>198</v>
      </c>
      <c r="B387" s="203" t="s">
        <v>5732</v>
      </c>
      <c r="C387" s="200">
        <f>COUNTIF(単語!G:L,単語辞書!A387)</f>
        <v>38</v>
      </c>
      <c r="D387" s="202"/>
      <c r="E387" s="200" t="s">
        <v>5575</v>
      </c>
      <c r="F387" s="79"/>
    </row>
    <row r="388" spans="1:6" ht="13.5">
      <c r="A388" s="203" t="s">
        <v>3755</v>
      </c>
      <c r="B388" s="203" t="s">
        <v>5731</v>
      </c>
      <c r="C388" s="200">
        <f>COUNTIF(単語!G:L,単語辞書!A388)</f>
        <v>1</v>
      </c>
      <c r="D388" s="202"/>
      <c r="E388" s="200" t="s">
        <v>5575</v>
      </c>
      <c r="F388" s="79"/>
    </row>
    <row r="389" spans="1:6" ht="13.5">
      <c r="A389" s="203" t="s">
        <v>1088</v>
      </c>
      <c r="B389" s="203" t="s">
        <v>5730</v>
      </c>
      <c r="C389" s="200">
        <f>COUNTIF(単語!G:L,単語辞書!A389)</f>
        <v>4</v>
      </c>
      <c r="D389" s="202"/>
      <c r="E389" s="200" t="s">
        <v>5575</v>
      </c>
      <c r="F389" s="79"/>
    </row>
    <row r="390" spans="1:6" ht="13.5">
      <c r="A390" s="203" t="s">
        <v>2388</v>
      </c>
      <c r="B390" s="203" t="s">
        <v>5729</v>
      </c>
      <c r="C390" s="200">
        <f>COUNTIF(単語!G:L,単語辞書!A390)</f>
        <v>11</v>
      </c>
      <c r="D390" s="202"/>
      <c r="E390" s="200" t="s">
        <v>5575</v>
      </c>
      <c r="F390" s="79"/>
    </row>
    <row r="391" spans="1:6" ht="13.5">
      <c r="A391" s="203" t="s">
        <v>5728</v>
      </c>
      <c r="B391" s="203" t="s">
        <v>5727</v>
      </c>
      <c r="C391" s="200">
        <f>COUNTIF(単語!G:L,単語辞書!A391)</f>
        <v>1</v>
      </c>
      <c r="D391" s="202"/>
      <c r="E391" s="200" t="s">
        <v>5575</v>
      </c>
      <c r="F391" s="79"/>
    </row>
    <row r="392" spans="1:6" ht="13.5">
      <c r="A392" s="203" t="s">
        <v>1292</v>
      </c>
      <c r="B392" s="203" t="s">
        <v>5726</v>
      </c>
      <c r="C392" s="200">
        <f>COUNTIF(単語!G:L,単語辞書!A392)</f>
        <v>13</v>
      </c>
      <c r="D392" s="202"/>
      <c r="E392" s="200" t="s">
        <v>5575</v>
      </c>
      <c r="F392" s="79"/>
    </row>
    <row r="393" spans="1:6" ht="13.5">
      <c r="A393" s="203" t="s">
        <v>703</v>
      </c>
      <c r="B393" s="203" t="s">
        <v>5725</v>
      </c>
      <c r="C393" s="200">
        <f>COUNTIF(単語!G:L,単語辞書!A393)</f>
        <v>6</v>
      </c>
      <c r="D393" s="202"/>
      <c r="E393" s="200" t="s">
        <v>5575</v>
      </c>
      <c r="F393" s="79"/>
    </row>
    <row r="394" spans="1:6" ht="13.5">
      <c r="A394" s="203" t="s">
        <v>1886</v>
      </c>
      <c r="B394" s="203" t="s">
        <v>5724</v>
      </c>
      <c r="C394" s="200">
        <f>COUNTIF(単語!G:L,単語辞書!A394)</f>
        <v>2</v>
      </c>
      <c r="D394" s="202"/>
      <c r="E394" s="200" t="s">
        <v>5575</v>
      </c>
      <c r="F394" s="79"/>
    </row>
    <row r="395" spans="1:6" ht="13.5">
      <c r="A395" s="203" t="s">
        <v>3180</v>
      </c>
      <c r="B395" s="203" t="s">
        <v>5723</v>
      </c>
      <c r="C395" s="200">
        <f>COUNTIF(単語!G:L,単語辞書!A395)</f>
        <v>1</v>
      </c>
      <c r="D395" s="202"/>
      <c r="E395" s="200" t="s">
        <v>5575</v>
      </c>
      <c r="F395" s="79"/>
    </row>
    <row r="396" spans="1:6" ht="13.5">
      <c r="A396" s="203" t="s">
        <v>2754</v>
      </c>
      <c r="B396" s="203" t="s">
        <v>5722</v>
      </c>
      <c r="C396" s="200">
        <f>COUNTIF(単語!G:L,単語辞書!A396)</f>
        <v>4</v>
      </c>
      <c r="D396" s="202"/>
      <c r="E396" s="200" t="s">
        <v>5575</v>
      </c>
      <c r="F396" s="79"/>
    </row>
    <row r="397" spans="1:6" ht="13.5">
      <c r="A397" s="203" t="s">
        <v>2882</v>
      </c>
      <c r="B397" s="203" t="s">
        <v>5721</v>
      </c>
      <c r="C397" s="200">
        <f>COUNTIF(単語!G:L,単語辞書!A397)</f>
        <v>1</v>
      </c>
      <c r="D397" s="202"/>
      <c r="E397" s="200" t="s">
        <v>5575</v>
      </c>
      <c r="F397" s="79"/>
    </row>
    <row r="398" spans="1:6" ht="13.5">
      <c r="A398" s="203" t="s">
        <v>5720</v>
      </c>
      <c r="B398" s="203" t="s">
        <v>5719</v>
      </c>
      <c r="C398" s="200">
        <f>COUNTIF(単語!G:L,単語辞書!A398)</f>
        <v>1</v>
      </c>
      <c r="D398" s="202"/>
      <c r="E398" s="200" t="s">
        <v>5575</v>
      </c>
      <c r="F398" s="79"/>
    </row>
    <row r="399" spans="1:6" ht="13.5">
      <c r="A399" s="203" t="s">
        <v>672</v>
      </c>
      <c r="B399" s="203" t="s">
        <v>5718</v>
      </c>
      <c r="C399" s="200">
        <f>COUNTIF(単語!G:L,単語辞書!A399)</f>
        <v>19</v>
      </c>
      <c r="D399" s="202"/>
      <c r="E399" s="200" t="s">
        <v>5575</v>
      </c>
      <c r="F399" s="79"/>
    </row>
    <row r="400" spans="1:6" ht="13.5">
      <c r="A400" s="203" t="s">
        <v>2261</v>
      </c>
      <c r="B400" s="210" t="s">
        <v>5717</v>
      </c>
      <c r="C400" s="200">
        <f>COUNTIF(単語!G:L,単語辞書!A400)</f>
        <v>13</v>
      </c>
      <c r="D400" s="202"/>
      <c r="E400" s="200" t="s">
        <v>5575</v>
      </c>
      <c r="F400" s="79"/>
    </row>
    <row r="401" spans="1:6" ht="13.5">
      <c r="A401" s="203" t="s">
        <v>3025</v>
      </c>
      <c r="B401" s="203" t="s">
        <v>5716</v>
      </c>
      <c r="C401" s="200">
        <f>COUNTIF(単語!G:L,単語辞書!A401)</f>
        <v>10</v>
      </c>
      <c r="D401" s="202"/>
      <c r="E401" s="200" t="s">
        <v>5575</v>
      </c>
      <c r="F401" s="79"/>
    </row>
    <row r="402" spans="1:6" ht="13.5">
      <c r="A402" s="203" t="s">
        <v>108</v>
      </c>
      <c r="B402" s="203" t="s">
        <v>5715</v>
      </c>
      <c r="C402" s="200">
        <f>COUNTIF(単語!G:L,単語辞書!A402)</f>
        <v>1</v>
      </c>
      <c r="D402" s="202"/>
      <c r="E402" s="200" t="s">
        <v>5575</v>
      </c>
      <c r="F402" s="79"/>
    </row>
    <row r="403" spans="1:6" ht="13.5">
      <c r="A403" s="203" t="s">
        <v>2570</v>
      </c>
      <c r="B403" s="203" t="s">
        <v>5714</v>
      </c>
      <c r="C403" s="200">
        <f>COUNTIF(単語!G:L,単語辞書!A403)</f>
        <v>8</v>
      </c>
      <c r="D403" s="202"/>
      <c r="E403" s="200" t="s">
        <v>5575</v>
      </c>
      <c r="F403" s="79"/>
    </row>
    <row r="404" spans="1:6" ht="13.5">
      <c r="A404" s="203" t="s">
        <v>353</v>
      </c>
      <c r="B404" s="203" t="s">
        <v>5713</v>
      </c>
      <c r="C404" s="200">
        <f>COUNTIF(単語!G:L,単語辞書!A404)</f>
        <v>7</v>
      </c>
      <c r="D404" s="202"/>
      <c r="E404" s="200" t="s">
        <v>5575</v>
      </c>
      <c r="F404" s="79"/>
    </row>
    <row r="405" spans="1:6" ht="13.5">
      <c r="A405" s="203" t="s">
        <v>1829</v>
      </c>
      <c r="B405" s="203" t="s">
        <v>5712</v>
      </c>
      <c r="C405" s="200">
        <f>COUNTIF(単語!G:L,単語辞書!A405)</f>
        <v>5</v>
      </c>
      <c r="D405" s="202"/>
      <c r="E405" s="200" t="s">
        <v>5575</v>
      </c>
      <c r="F405" s="79"/>
    </row>
    <row r="406" spans="1:6" ht="13.5">
      <c r="A406" s="203" t="s">
        <v>5711</v>
      </c>
      <c r="B406" s="203" t="s">
        <v>5710</v>
      </c>
      <c r="C406" s="200">
        <f>COUNTIF(単語!G:L,単語辞書!A406)</f>
        <v>1</v>
      </c>
      <c r="D406" s="202"/>
      <c r="E406" s="200" t="s">
        <v>5575</v>
      </c>
      <c r="F406" s="79"/>
    </row>
    <row r="407" spans="1:6" ht="13.5">
      <c r="A407" s="203" t="s">
        <v>5709</v>
      </c>
      <c r="B407" s="203" t="s">
        <v>5708</v>
      </c>
      <c r="C407" s="200">
        <f>COUNTIF(単語!G:L,単語辞書!A407)</f>
        <v>2</v>
      </c>
      <c r="D407" s="202"/>
      <c r="E407" s="200" t="s">
        <v>5575</v>
      </c>
      <c r="F407" s="79"/>
    </row>
    <row r="408" spans="1:6" ht="13.5">
      <c r="A408" s="203" t="s">
        <v>2259</v>
      </c>
      <c r="B408" s="203" t="s">
        <v>5707</v>
      </c>
      <c r="C408" s="200">
        <f>COUNTIF(単語!G:L,単語辞書!A408)</f>
        <v>3</v>
      </c>
      <c r="D408" s="202"/>
      <c r="E408" s="200" t="s">
        <v>5575</v>
      </c>
      <c r="F408" s="79"/>
    </row>
    <row r="409" spans="1:6" ht="13.5">
      <c r="A409" s="203" t="s">
        <v>5706</v>
      </c>
      <c r="B409" s="203" t="s">
        <v>5705</v>
      </c>
      <c r="C409" s="200">
        <f>COUNTIF(単語!G:L,単語辞書!A409)</f>
        <v>2</v>
      </c>
      <c r="D409" s="202"/>
      <c r="E409" s="200" t="s">
        <v>5575</v>
      </c>
      <c r="F409" s="79"/>
    </row>
    <row r="410" spans="1:6" ht="13.5">
      <c r="A410" s="203" t="s">
        <v>3011</v>
      </c>
      <c r="B410" s="203" t="s">
        <v>5704</v>
      </c>
      <c r="C410" s="200">
        <f>COUNTIF(単語!G:L,単語辞書!A410)</f>
        <v>1</v>
      </c>
      <c r="D410" s="202"/>
      <c r="E410" s="200" t="s">
        <v>5575</v>
      </c>
      <c r="F410" s="79"/>
    </row>
    <row r="411" spans="1:6" ht="13.5">
      <c r="A411" s="203" t="s">
        <v>3052</v>
      </c>
      <c r="B411" s="203" t="s">
        <v>5703</v>
      </c>
      <c r="C411" s="200">
        <f>COUNTIF(単語!G:L,単語辞書!A411)</f>
        <v>2</v>
      </c>
      <c r="D411" s="202"/>
      <c r="E411" s="200" t="s">
        <v>5575</v>
      </c>
      <c r="F411" s="79"/>
    </row>
    <row r="412" spans="1:6" ht="13.5">
      <c r="A412" s="203" t="s">
        <v>5702</v>
      </c>
      <c r="B412" s="203" t="s">
        <v>5701</v>
      </c>
      <c r="C412" s="200">
        <f>COUNTIF(単語!G:L,単語辞書!A412)</f>
        <v>9</v>
      </c>
      <c r="D412" s="202"/>
      <c r="E412" s="200" t="s">
        <v>5575</v>
      </c>
      <c r="F412" s="79"/>
    </row>
    <row r="413" spans="1:6" ht="13.5">
      <c r="A413" s="203" t="s">
        <v>5700</v>
      </c>
      <c r="B413" s="203" t="s">
        <v>5699</v>
      </c>
      <c r="C413" s="200">
        <f>COUNTIF(単語!G:L,単語辞書!A413)</f>
        <v>0</v>
      </c>
      <c r="D413" s="202"/>
      <c r="E413" s="200" t="s">
        <v>5575</v>
      </c>
      <c r="F413" s="79"/>
    </row>
    <row r="414" spans="1:6" ht="13.5">
      <c r="A414" s="203" t="s">
        <v>2372</v>
      </c>
      <c r="B414" s="203" t="s">
        <v>5698</v>
      </c>
      <c r="C414" s="200">
        <f>COUNTIF(単語!G:L,単語辞書!A414)</f>
        <v>23</v>
      </c>
      <c r="D414" s="202"/>
      <c r="E414" s="200" t="s">
        <v>5575</v>
      </c>
      <c r="F414" s="79"/>
    </row>
    <row r="415" spans="1:6" ht="13.5">
      <c r="A415" s="203" t="s">
        <v>5697</v>
      </c>
      <c r="B415" s="203" t="s">
        <v>5696</v>
      </c>
      <c r="C415" s="200">
        <f>COUNTIF(単語!G:L,単語辞書!A415)</f>
        <v>3</v>
      </c>
      <c r="D415" s="202"/>
      <c r="E415" s="200" t="s">
        <v>5575</v>
      </c>
      <c r="F415" s="79"/>
    </row>
    <row r="416" spans="1:6" ht="13.5">
      <c r="A416" s="203" t="s">
        <v>3727</v>
      </c>
      <c r="B416" s="203" t="s">
        <v>5695</v>
      </c>
      <c r="C416" s="200">
        <f>COUNTIF(単語!G:L,単語辞書!A416)</f>
        <v>2</v>
      </c>
      <c r="D416" s="202"/>
      <c r="E416" s="200" t="s">
        <v>5575</v>
      </c>
      <c r="F416" s="79"/>
    </row>
    <row r="417" spans="1:6" ht="13.5">
      <c r="A417" s="203" t="s">
        <v>1322</v>
      </c>
      <c r="B417" s="203" t="s">
        <v>5694</v>
      </c>
      <c r="C417" s="200">
        <f>COUNTIF(単語!G:L,単語辞書!A417)</f>
        <v>8</v>
      </c>
      <c r="D417" s="202"/>
      <c r="E417" s="200" t="s">
        <v>5575</v>
      </c>
      <c r="F417" s="79"/>
    </row>
    <row r="418" spans="1:6" ht="13.5">
      <c r="A418" s="203" t="s">
        <v>2458</v>
      </c>
      <c r="B418" s="203" t="s">
        <v>5693</v>
      </c>
      <c r="C418" s="200">
        <f>COUNTIF(単語!G:L,単語辞書!A418)</f>
        <v>5</v>
      </c>
      <c r="D418" s="202" t="s">
        <v>5692</v>
      </c>
      <c r="E418" s="200" t="s">
        <v>5575</v>
      </c>
      <c r="F418" s="79"/>
    </row>
    <row r="419" spans="1:6" ht="13.5">
      <c r="A419" s="203" t="s">
        <v>1085</v>
      </c>
      <c r="B419" s="203" t="s">
        <v>5691</v>
      </c>
      <c r="C419" s="200">
        <f>COUNTIF(単語!G:L,単語辞書!A419)</f>
        <v>8</v>
      </c>
      <c r="D419" s="202"/>
      <c r="E419" s="200" t="s">
        <v>5575</v>
      </c>
      <c r="F419" s="79"/>
    </row>
    <row r="420" spans="1:6" ht="13.5">
      <c r="A420" s="203" t="s">
        <v>5690</v>
      </c>
      <c r="B420" s="203" t="s">
        <v>5689</v>
      </c>
      <c r="C420" s="200">
        <f>COUNTIF(単語!G:L,単語辞書!A420)</f>
        <v>0</v>
      </c>
      <c r="D420" s="202"/>
      <c r="E420" s="200" t="s">
        <v>5575</v>
      </c>
      <c r="F420" s="79"/>
    </row>
    <row r="421" spans="1:6" ht="13.5">
      <c r="A421" s="203" t="s">
        <v>3714</v>
      </c>
      <c r="B421" s="203" t="s">
        <v>5688</v>
      </c>
      <c r="C421" s="200">
        <f>COUNTIF(単語!G:L,単語辞書!A421)</f>
        <v>7</v>
      </c>
      <c r="D421" s="202"/>
      <c r="E421" s="200" t="s">
        <v>5575</v>
      </c>
      <c r="F421" s="79"/>
    </row>
    <row r="422" spans="1:6" ht="13.5">
      <c r="A422" s="203" t="s">
        <v>5687</v>
      </c>
      <c r="B422" s="203" t="s">
        <v>5686</v>
      </c>
      <c r="C422" s="200">
        <f>COUNTIF(単語!G:L,単語辞書!A422)</f>
        <v>2</v>
      </c>
      <c r="D422" s="202"/>
      <c r="E422" s="200" t="s">
        <v>5575</v>
      </c>
      <c r="F422" s="79"/>
    </row>
    <row r="423" spans="1:6" ht="13.5">
      <c r="A423" s="203" t="s">
        <v>3575</v>
      </c>
      <c r="B423" s="203" t="s">
        <v>5685</v>
      </c>
      <c r="C423" s="200">
        <f>COUNTIF(単語!G:L,単語辞書!A423)</f>
        <v>2</v>
      </c>
      <c r="D423" s="202"/>
      <c r="E423" s="200" t="s">
        <v>5575</v>
      </c>
      <c r="F423" s="79"/>
    </row>
    <row r="424" spans="1:6" ht="13.5">
      <c r="A424" s="203" t="s">
        <v>3684</v>
      </c>
      <c r="B424" s="203" t="s">
        <v>5684</v>
      </c>
      <c r="C424" s="200">
        <f>COUNTIF(単語!G:L,単語辞書!A424)</f>
        <v>1</v>
      </c>
      <c r="D424" s="202"/>
      <c r="E424" s="200" t="s">
        <v>5575</v>
      </c>
      <c r="F424" s="79"/>
    </row>
    <row r="425" spans="1:6" ht="13.5">
      <c r="A425" s="203" t="s">
        <v>5683</v>
      </c>
      <c r="B425" s="203" t="s">
        <v>5682</v>
      </c>
      <c r="C425" s="200">
        <f>COUNTIF(単語!G:L,単語辞書!A425)</f>
        <v>2</v>
      </c>
      <c r="D425" s="202"/>
      <c r="E425" s="200" t="s">
        <v>5575</v>
      </c>
      <c r="F425" s="79"/>
    </row>
    <row r="426" spans="1:6" ht="13.5">
      <c r="A426" s="203" t="s">
        <v>2903</v>
      </c>
      <c r="B426" s="203" t="s">
        <v>5681</v>
      </c>
      <c r="C426" s="200">
        <f>COUNTIF(単語!G:L,単語辞書!A426)</f>
        <v>1</v>
      </c>
      <c r="D426" s="202"/>
      <c r="E426" s="200" t="s">
        <v>5575</v>
      </c>
      <c r="F426" s="79"/>
    </row>
    <row r="427" spans="1:6" ht="13.5">
      <c r="A427" s="203" t="s">
        <v>3683</v>
      </c>
      <c r="B427" s="203" t="s">
        <v>5680</v>
      </c>
      <c r="C427" s="200">
        <f>COUNTIF(単語!G:L,単語辞書!A427)</f>
        <v>1</v>
      </c>
      <c r="D427" s="202"/>
      <c r="E427" s="200" t="s">
        <v>5575</v>
      </c>
      <c r="F427" s="79"/>
    </row>
    <row r="428" spans="1:6" ht="13.5">
      <c r="A428" s="203" t="s">
        <v>1118</v>
      </c>
      <c r="B428" s="203" t="s">
        <v>5679</v>
      </c>
      <c r="C428" s="200">
        <f>COUNTIF(単語!G:L,単語辞書!A428)</f>
        <v>11</v>
      </c>
      <c r="D428" s="202"/>
      <c r="E428" s="200" t="s">
        <v>5575</v>
      </c>
      <c r="F428" s="79"/>
    </row>
    <row r="429" spans="1:6" ht="13.5">
      <c r="A429" s="203" t="s">
        <v>3490</v>
      </c>
      <c r="B429" s="203" t="s">
        <v>5678</v>
      </c>
      <c r="C429" s="200">
        <f>COUNTIF(単語!G:L,単語辞書!A429)</f>
        <v>3</v>
      </c>
      <c r="D429" s="202"/>
      <c r="E429" s="200" t="s">
        <v>5575</v>
      </c>
      <c r="F429" s="79"/>
    </row>
    <row r="430" spans="1:6" ht="13.5">
      <c r="A430" s="203" t="s">
        <v>5677</v>
      </c>
      <c r="B430" s="203" t="s">
        <v>5676</v>
      </c>
      <c r="C430" s="200">
        <f>COUNTIF(単語!G:L,単語辞書!A430)</f>
        <v>1</v>
      </c>
      <c r="D430" s="202"/>
      <c r="E430" s="200" t="s">
        <v>5575</v>
      </c>
      <c r="F430" s="79"/>
    </row>
    <row r="431" spans="1:6" ht="13.5">
      <c r="A431" s="203" t="s">
        <v>3514</v>
      </c>
      <c r="B431" s="203" t="s">
        <v>5675</v>
      </c>
      <c r="C431" s="200">
        <f>COUNTIF(単語!G:L,単語辞書!A431)</f>
        <v>2</v>
      </c>
      <c r="D431" s="202"/>
      <c r="E431" s="200" t="s">
        <v>5575</v>
      </c>
      <c r="F431" s="79"/>
    </row>
    <row r="432" spans="1:6" ht="13.5">
      <c r="A432" s="203" t="s">
        <v>667</v>
      </c>
      <c r="B432" s="203" t="s">
        <v>5674</v>
      </c>
      <c r="C432" s="200">
        <f>COUNTIF(単語!G:L,単語辞書!A432)</f>
        <v>2</v>
      </c>
      <c r="D432" s="202"/>
      <c r="E432" s="200" t="s">
        <v>5575</v>
      </c>
      <c r="F432" s="79"/>
    </row>
    <row r="433" spans="1:6" ht="13.5">
      <c r="A433" s="203" t="s">
        <v>3672</v>
      </c>
      <c r="B433" s="203" t="s">
        <v>5673</v>
      </c>
      <c r="C433" s="200">
        <f>COUNTIF(単語!G:L,単語辞書!A433)</f>
        <v>1</v>
      </c>
      <c r="D433" s="202"/>
      <c r="E433" s="200" t="s">
        <v>5575</v>
      </c>
      <c r="F433" s="79"/>
    </row>
    <row r="434" spans="1:6" ht="13.5">
      <c r="A434" s="203" t="s">
        <v>3671</v>
      </c>
      <c r="B434" s="203" t="s">
        <v>5672</v>
      </c>
      <c r="C434" s="200">
        <f>COUNTIF(単語!G:L,単語辞書!A434)</f>
        <v>1</v>
      </c>
      <c r="D434" s="202"/>
      <c r="E434" s="200" t="s">
        <v>5575</v>
      </c>
      <c r="F434" s="79"/>
    </row>
    <row r="435" spans="1:6" ht="13.5">
      <c r="A435" s="203" t="s">
        <v>3669</v>
      </c>
      <c r="B435" s="203" t="s">
        <v>5671</v>
      </c>
      <c r="C435" s="200">
        <f>COUNTIF(単語!G:L,単語辞書!A435)</f>
        <v>2</v>
      </c>
      <c r="D435" s="202"/>
      <c r="E435" s="200" t="s">
        <v>5575</v>
      </c>
      <c r="F435" s="79"/>
    </row>
    <row r="436" spans="1:6" ht="13.5">
      <c r="A436" s="203" t="s">
        <v>3668</v>
      </c>
      <c r="B436" s="203" t="s">
        <v>5670</v>
      </c>
      <c r="C436" s="200">
        <f>COUNTIF(単語!G:L,単語辞書!A436)</f>
        <v>1</v>
      </c>
      <c r="D436" s="202"/>
      <c r="E436" s="200" t="s">
        <v>5575</v>
      </c>
      <c r="F436" s="79"/>
    </row>
    <row r="437" spans="1:6" ht="13.5">
      <c r="A437" s="203" t="s">
        <v>3666</v>
      </c>
      <c r="B437" s="210" t="s">
        <v>5669</v>
      </c>
      <c r="C437" s="200">
        <f>COUNTIF(単語!G:L,単語辞書!A437)</f>
        <v>5</v>
      </c>
      <c r="D437" s="209" t="s">
        <v>5668</v>
      </c>
      <c r="E437" s="200" t="s">
        <v>5575</v>
      </c>
      <c r="F437" s="79"/>
    </row>
    <row r="438" spans="1:6" ht="13.5">
      <c r="A438" s="203" t="s">
        <v>5667</v>
      </c>
      <c r="B438" s="203" t="s">
        <v>5666</v>
      </c>
      <c r="C438" s="200">
        <f>COUNTIF(単語!G:L,単語辞書!A438)</f>
        <v>2</v>
      </c>
      <c r="D438" s="202"/>
      <c r="E438" s="200" t="s">
        <v>5575</v>
      </c>
      <c r="F438" s="79"/>
    </row>
    <row r="439" spans="1:6" ht="13.5">
      <c r="A439" s="203" t="s">
        <v>2962</v>
      </c>
      <c r="B439" s="203" t="s">
        <v>5665</v>
      </c>
      <c r="C439" s="200">
        <f>COUNTIF(単語!G:L,単語辞書!A439)</f>
        <v>5</v>
      </c>
      <c r="D439" s="202"/>
      <c r="E439" s="200" t="s">
        <v>5575</v>
      </c>
      <c r="F439" s="79"/>
    </row>
    <row r="440" spans="1:6" ht="13.5">
      <c r="A440" s="203" t="s">
        <v>1314</v>
      </c>
      <c r="B440" s="203" t="s">
        <v>5664</v>
      </c>
      <c r="C440" s="200">
        <f>COUNTIF(単語!G:L,単語辞書!A440)</f>
        <v>42</v>
      </c>
      <c r="D440" s="202"/>
      <c r="E440" s="200" t="s">
        <v>5575</v>
      </c>
      <c r="F440" s="79"/>
    </row>
    <row r="441" spans="1:6" ht="13.5">
      <c r="A441" s="203" t="s">
        <v>2240</v>
      </c>
      <c r="B441" s="203" t="s">
        <v>5663</v>
      </c>
      <c r="C441" s="200">
        <f>COUNTIF(単語!G:L,単語辞書!A441)</f>
        <v>1</v>
      </c>
      <c r="D441" s="202"/>
      <c r="E441" s="200" t="s">
        <v>5575</v>
      </c>
      <c r="F441" s="79"/>
    </row>
    <row r="442" spans="1:6" ht="13.5">
      <c r="A442" s="203" t="s">
        <v>5662</v>
      </c>
      <c r="B442" s="203" t="s">
        <v>5661</v>
      </c>
      <c r="C442" s="200">
        <f>COUNTIF(単語!G:L,単語辞書!A442)</f>
        <v>1</v>
      </c>
      <c r="D442" s="202"/>
      <c r="E442" s="200" t="s">
        <v>5575</v>
      </c>
      <c r="F442" s="79"/>
    </row>
    <row r="443" spans="1:6" ht="13.5">
      <c r="A443" s="203" t="s">
        <v>3655</v>
      </c>
      <c r="B443" s="203" t="s">
        <v>5660</v>
      </c>
      <c r="C443" s="200">
        <f>COUNTIF(単語!G:L,単語辞書!A443)</f>
        <v>25</v>
      </c>
      <c r="D443" s="202"/>
      <c r="E443" s="200" t="s">
        <v>5575</v>
      </c>
      <c r="F443" s="79"/>
    </row>
    <row r="444" spans="1:6" ht="13.5">
      <c r="A444" s="203" t="s">
        <v>3653</v>
      </c>
      <c r="B444" s="203" t="s">
        <v>5659</v>
      </c>
      <c r="C444" s="200">
        <f>COUNTIF(単語!G:L,単語辞書!A444)</f>
        <v>1</v>
      </c>
      <c r="D444" s="202"/>
      <c r="E444" s="200" t="s">
        <v>5575</v>
      </c>
      <c r="F444" s="79"/>
    </row>
    <row r="445" spans="1:6" ht="13.5">
      <c r="A445" s="203" t="s">
        <v>3648</v>
      </c>
      <c r="B445" s="203" t="s">
        <v>5658</v>
      </c>
      <c r="C445" s="200">
        <f>COUNTIF(単語!G:L,単語辞書!A445)</f>
        <v>3</v>
      </c>
      <c r="D445" s="202"/>
      <c r="E445" s="200" t="s">
        <v>5575</v>
      </c>
      <c r="F445" s="79"/>
    </row>
    <row r="446" spans="1:6" ht="13.5">
      <c r="A446" s="203" t="s">
        <v>5657</v>
      </c>
      <c r="B446" s="203" t="s">
        <v>5656</v>
      </c>
      <c r="C446" s="200">
        <f>COUNTIF(単語!G:L,単語辞書!A446)</f>
        <v>1</v>
      </c>
      <c r="D446" s="202"/>
      <c r="E446" s="200" t="s">
        <v>5575</v>
      </c>
      <c r="F446" s="79"/>
    </row>
    <row r="447" spans="1:6" ht="13.5">
      <c r="A447" s="203" t="s">
        <v>3646</v>
      </c>
      <c r="B447" s="203" t="s">
        <v>5655</v>
      </c>
      <c r="C447" s="200">
        <f>COUNTIF(単語!G:L,単語辞書!A447)</f>
        <v>3</v>
      </c>
      <c r="D447" s="202"/>
      <c r="E447" s="200" t="s">
        <v>5575</v>
      </c>
      <c r="F447" s="79"/>
    </row>
    <row r="448" spans="1:6" ht="13.5">
      <c r="A448" s="203" t="s">
        <v>3643</v>
      </c>
      <c r="B448" s="203" t="s">
        <v>5654</v>
      </c>
      <c r="C448" s="200">
        <f>COUNTIF(単語!G:L,単語辞書!A448)</f>
        <v>1</v>
      </c>
      <c r="D448" s="202"/>
      <c r="E448" s="200" t="s">
        <v>5575</v>
      </c>
      <c r="F448" s="79"/>
    </row>
    <row r="449" spans="1:6" ht="13.5">
      <c r="A449" s="203" t="s">
        <v>3262</v>
      </c>
      <c r="B449" s="203" t="s">
        <v>5653</v>
      </c>
      <c r="C449" s="200">
        <f>COUNTIF(単語!G:L,単語辞書!A449)</f>
        <v>1</v>
      </c>
      <c r="D449" s="202"/>
      <c r="E449" s="200" t="s">
        <v>5575</v>
      </c>
      <c r="F449" s="79"/>
    </row>
    <row r="450" spans="1:6" ht="13.5">
      <c r="A450" s="203" t="s">
        <v>2726</v>
      </c>
      <c r="B450" s="203" t="s">
        <v>5652</v>
      </c>
      <c r="C450" s="200">
        <f>COUNTIF(単語!G:L,単語辞書!A450)</f>
        <v>1</v>
      </c>
      <c r="D450" s="202"/>
      <c r="E450" s="200" t="s">
        <v>5575</v>
      </c>
      <c r="F450" s="79"/>
    </row>
    <row r="451" spans="1:6" ht="13.5">
      <c r="A451" s="203" t="s">
        <v>757</v>
      </c>
      <c r="B451" s="203" t="s">
        <v>5651</v>
      </c>
      <c r="C451" s="200">
        <f>COUNTIF(単語!G:L,単語辞書!A451)</f>
        <v>3</v>
      </c>
      <c r="D451" s="202"/>
      <c r="E451" s="200" t="s">
        <v>5575</v>
      </c>
      <c r="F451" s="79"/>
    </row>
    <row r="452" spans="1:6" ht="13.5">
      <c r="A452" s="203" t="s">
        <v>3624</v>
      </c>
      <c r="B452" s="203" t="s">
        <v>5650</v>
      </c>
      <c r="C452" s="200">
        <f>COUNTIF(単語!G:L,単語辞書!A452)</f>
        <v>12</v>
      </c>
      <c r="D452" s="202"/>
      <c r="E452" s="200" t="s">
        <v>5575</v>
      </c>
      <c r="F452" s="79"/>
    </row>
    <row r="453" spans="1:6" ht="13.5">
      <c r="A453" s="203" t="s">
        <v>2273</v>
      </c>
      <c r="B453" s="203" t="s">
        <v>5649</v>
      </c>
      <c r="C453" s="200">
        <f>COUNTIF(単語!G:L,単語辞書!A453)</f>
        <v>1</v>
      </c>
      <c r="D453" s="202"/>
      <c r="E453" s="200" t="s">
        <v>5575</v>
      </c>
      <c r="F453" s="79"/>
    </row>
    <row r="454" spans="1:6" ht="13.5">
      <c r="A454" s="203" t="s">
        <v>760</v>
      </c>
      <c r="B454" s="203" t="s">
        <v>5648</v>
      </c>
      <c r="C454" s="200">
        <f>COUNTIF(単語!G:L,単語辞書!A454)</f>
        <v>4</v>
      </c>
      <c r="D454" s="202"/>
      <c r="E454" s="200" t="s">
        <v>5575</v>
      </c>
      <c r="F454" s="79"/>
    </row>
    <row r="455" spans="1:6" ht="13.5">
      <c r="A455" s="203" t="s">
        <v>5647</v>
      </c>
      <c r="B455" s="203" t="s">
        <v>5646</v>
      </c>
      <c r="C455" s="200">
        <f>COUNTIF(単語!G:L,単語辞書!A455)</f>
        <v>3</v>
      </c>
      <c r="D455" s="202"/>
      <c r="E455" s="200" t="s">
        <v>5575</v>
      </c>
      <c r="F455" s="79"/>
    </row>
    <row r="456" spans="1:6" ht="13.5">
      <c r="A456" s="203" t="s">
        <v>3368</v>
      </c>
      <c r="B456" s="203" t="s">
        <v>5645</v>
      </c>
      <c r="C456" s="200">
        <f>COUNTIF(単語!G:L,単語辞書!A456)</f>
        <v>5</v>
      </c>
      <c r="D456" s="202"/>
      <c r="E456" s="200" t="s">
        <v>5575</v>
      </c>
      <c r="F456" s="79"/>
    </row>
    <row r="457" spans="1:6" ht="13.5">
      <c r="A457" s="203" t="s">
        <v>3615</v>
      </c>
      <c r="B457" s="203" t="s">
        <v>5644</v>
      </c>
      <c r="C457" s="200">
        <f>COUNTIF(単語!G:L,単語辞書!A457)</f>
        <v>1</v>
      </c>
      <c r="D457" s="202"/>
      <c r="E457" s="200" t="s">
        <v>5575</v>
      </c>
      <c r="F457" s="79"/>
    </row>
    <row r="458" spans="1:6" ht="13.5">
      <c r="A458" s="203" t="s">
        <v>4036</v>
      </c>
      <c r="B458" s="203" t="s">
        <v>5643</v>
      </c>
      <c r="C458" s="200">
        <f>COUNTIF(単語!G:L,単語辞書!A458)</f>
        <v>1</v>
      </c>
      <c r="D458" s="202"/>
      <c r="E458" s="200" t="s">
        <v>5575</v>
      </c>
      <c r="F458" s="79"/>
    </row>
    <row r="459" spans="1:6" ht="13.5">
      <c r="A459" s="203" t="s">
        <v>429</v>
      </c>
      <c r="B459" s="203" t="s">
        <v>5642</v>
      </c>
      <c r="C459" s="200">
        <f>COUNTIF(単語!G:L,単語辞書!A459)</f>
        <v>2</v>
      </c>
      <c r="D459" s="202"/>
      <c r="E459" s="200" t="s">
        <v>5575</v>
      </c>
      <c r="F459" s="79"/>
    </row>
    <row r="460" spans="1:6" ht="13.5">
      <c r="A460" s="203" t="s">
        <v>283</v>
      </c>
      <c r="B460" s="203" t="s">
        <v>5641</v>
      </c>
      <c r="C460" s="200">
        <f>COUNTIF(単語!G:L,単語辞書!A460)</f>
        <v>6</v>
      </c>
      <c r="D460" s="202"/>
      <c r="E460" s="200" t="s">
        <v>5575</v>
      </c>
      <c r="F460" s="79"/>
    </row>
    <row r="461" spans="1:6" ht="13.5">
      <c r="A461" s="203" t="s">
        <v>5640</v>
      </c>
      <c r="B461" s="203" t="s">
        <v>5639</v>
      </c>
      <c r="C461" s="200">
        <f>COUNTIF(単語!G:L,単語辞書!A461)</f>
        <v>1</v>
      </c>
      <c r="D461" s="202"/>
      <c r="E461" s="200" t="s">
        <v>5575</v>
      </c>
      <c r="F461" s="79"/>
    </row>
    <row r="462" spans="1:6" ht="13.5">
      <c r="A462" s="203" t="s">
        <v>3572</v>
      </c>
      <c r="B462" s="203" t="s">
        <v>5638</v>
      </c>
      <c r="C462" s="200">
        <f>COUNTIF(単語!G:L,単語辞書!A462)</f>
        <v>2</v>
      </c>
      <c r="D462" s="202"/>
      <c r="E462" s="200" t="s">
        <v>5575</v>
      </c>
      <c r="F462" s="79"/>
    </row>
    <row r="463" spans="1:6" ht="13.5">
      <c r="A463" s="203" t="s">
        <v>4216</v>
      </c>
      <c r="B463" s="203" t="s">
        <v>5637</v>
      </c>
      <c r="C463" s="200">
        <f>COUNTIF(単語!G:L,単語辞書!A463)</f>
        <v>1</v>
      </c>
      <c r="D463" s="202"/>
      <c r="E463" s="200" t="s">
        <v>5575</v>
      </c>
      <c r="F463" s="79"/>
    </row>
    <row r="464" spans="1:6" ht="13.5">
      <c r="A464" s="203" t="s">
        <v>3610</v>
      </c>
      <c r="B464" s="203" t="s">
        <v>5636</v>
      </c>
      <c r="C464" s="200">
        <f>COUNTIF(単語!G:L,単語辞書!A464)</f>
        <v>2</v>
      </c>
      <c r="D464" s="202"/>
      <c r="E464" s="200" t="s">
        <v>5575</v>
      </c>
      <c r="F464" s="79"/>
    </row>
    <row r="465" spans="1:6" ht="13.5">
      <c r="A465" s="203" t="s">
        <v>2915</v>
      </c>
      <c r="B465" s="203" t="s">
        <v>5635</v>
      </c>
      <c r="C465" s="200">
        <f>COUNTIF(単語!G:L,単語辞書!A465)</f>
        <v>3</v>
      </c>
      <c r="D465" s="202"/>
      <c r="E465" s="200" t="s">
        <v>5575</v>
      </c>
      <c r="F465" s="79"/>
    </row>
    <row r="466" spans="1:6" ht="13.5">
      <c r="A466" s="203" t="s">
        <v>5634</v>
      </c>
      <c r="B466" s="203" t="s">
        <v>5633</v>
      </c>
      <c r="C466" s="200">
        <f>COUNTIF(単語!G:L,単語辞書!A466)</f>
        <v>2</v>
      </c>
      <c r="D466" s="202"/>
      <c r="E466" s="200" t="s">
        <v>5575</v>
      </c>
      <c r="F466" s="79"/>
    </row>
    <row r="467" spans="1:6" ht="13.5">
      <c r="A467" s="203" t="s">
        <v>3608</v>
      </c>
      <c r="B467" s="203" t="s">
        <v>5632</v>
      </c>
      <c r="C467" s="200">
        <f>COUNTIF(単語!G:L,単語辞書!A467)</f>
        <v>1</v>
      </c>
      <c r="D467" s="202"/>
      <c r="E467" s="200" t="s">
        <v>5575</v>
      </c>
      <c r="F467" s="79"/>
    </row>
    <row r="468" spans="1:6" ht="13.5">
      <c r="A468" s="203" t="s">
        <v>2264</v>
      </c>
      <c r="B468" s="203" t="s">
        <v>5631</v>
      </c>
      <c r="C468" s="200">
        <f>COUNTIF(単語!G:L,単語辞書!A468)</f>
        <v>2</v>
      </c>
      <c r="D468" s="202"/>
      <c r="E468" s="200" t="s">
        <v>5575</v>
      </c>
      <c r="F468" s="79"/>
    </row>
    <row r="469" spans="1:6" ht="13.5">
      <c r="A469" s="203" t="s">
        <v>3607</v>
      </c>
      <c r="B469" s="203" t="s">
        <v>5630</v>
      </c>
      <c r="C469" s="200">
        <f>COUNTIF(単語!G:L,単語辞書!A469)</f>
        <v>1</v>
      </c>
      <c r="D469" s="202"/>
      <c r="E469" s="200" t="s">
        <v>5575</v>
      </c>
      <c r="F469" s="79"/>
    </row>
    <row r="470" spans="1:6" ht="13.5">
      <c r="A470" s="203" t="s">
        <v>2667</v>
      </c>
      <c r="B470" s="203" t="s">
        <v>5629</v>
      </c>
      <c r="C470" s="200">
        <f>COUNTIF(単語!G:L,単語辞書!A470)</f>
        <v>3</v>
      </c>
      <c r="D470" s="202"/>
      <c r="E470" s="200" t="s">
        <v>5575</v>
      </c>
      <c r="F470" s="79"/>
    </row>
    <row r="471" spans="1:6" ht="13.5">
      <c r="A471" s="203" t="s">
        <v>1119</v>
      </c>
      <c r="B471" s="203" t="s">
        <v>5628</v>
      </c>
      <c r="C471" s="200">
        <f>COUNTIF(単語!G:L,単語辞書!A471)</f>
        <v>7</v>
      </c>
      <c r="D471" s="202"/>
      <c r="E471" s="200" t="s">
        <v>5575</v>
      </c>
      <c r="F471" s="79"/>
    </row>
    <row r="472" spans="1:6" ht="13.5">
      <c r="A472" s="203" t="s">
        <v>5627</v>
      </c>
      <c r="B472" s="203" t="s">
        <v>5626</v>
      </c>
      <c r="C472" s="200">
        <f>COUNTIF(単語!G:L,単語辞書!A472)</f>
        <v>1</v>
      </c>
      <c r="D472" s="202"/>
      <c r="E472" s="200" t="s">
        <v>5575</v>
      </c>
      <c r="F472" s="79"/>
    </row>
    <row r="473" spans="1:6" ht="13.5">
      <c r="A473" s="203" t="s">
        <v>3102</v>
      </c>
      <c r="B473" s="203" t="s">
        <v>5625</v>
      </c>
      <c r="C473" s="200">
        <f>COUNTIF(単語!G:L,単語辞書!A473)</f>
        <v>2</v>
      </c>
      <c r="D473" s="202"/>
      <c r="E473" s="200" t="s">
        <v>5575</v>
      </c>
      <c r="F473" s="79"/>
    </row>
    <row r="474" spans="1:6" ht="13.5">
      <c r="A474" s="203" t="s">
        <v>2339</v>
      </c>
      <c r="B474" s="203" t="s">
        <v>5624</v>
      </c>
      <c r="C474" s="200">
        <f>COUNTIF(単語!G:L,単語辞書!A474)</f>
        <v>6</v>
      </c>
      <c r="D474" s="202"/>
      <c r="E474" s="200" t="s">
        <v>5575</v>
      </c>
      <c r="F474" s="79"/>
    </row>
    <row r="475" spans="1:6" ht="13.5">
      <c r="A475" s="203" t="s">
        <v>3589</v>
      </c>
      <c r="B475" s="203" t="s">
        <v>5623</v>
      </c>
      <c r="C475" s="200">
        <f>COUNTIF(単語!G:L,単語辞書!A475)</f>
        <v>8</v>
      </c>
      <c r="D475" s="202"/>
      <c r="E475" s="200" t="s">
        <v>5575</v>
      </c>
      <c r="F475" s="79"/>
    </row>
    <row r="476" spans="1:6" ht="13.5">
      <c r="A476" s="203" t="s">
        <v>5622</v>
      </c>
      <c r="B476" s="203" t="s">
        <v>5621</v>
      </c>
      <c r="C476" s="200">
        <f>COUNTIF(単語!G:L,単語辞書!A476)</f>
        <v>1</v>
      </c>
      <c r="D476" s="202"/>
      <c r="E476" s="200" t="s">
        <v>5575</v>
      </c>
      <c r="F476" s="79"/>
    </row>
    <row r="477" spans="1:6" ht="13.5">
      <c r="A477" s="203" t="s">
        <v>2360</v>
      </c>
      <c r="B477" s="203" t="s">
        <v>5620</v>
      </c>
      <c r="C477" s="200">
        <f>COUNTIF(単語!G:L,単語辞書!A477)</f>
        <v>21</v>
      </c>
      <c r="D477" s="202"/>
      <c r="E477" s="200" t="s">
        <v>5575</v>
      </c>
      <c r="F477" s="79"/>
    </row>
    <row r="478" spans="1:6" ht="13.5">
      <c r="A478" s="203" t="s">
        <v>2412</v>
      </c>
      <c r="B478" s="203" t="s">
        <v>5619</v>
      </c>
      <c r="C478" s="200">
        <f>COUNTIF(単語!G:L,単語辞書!A478)</f>
        <v>8</v>
      </c>
      <c r="D478" s="202"/>
      <c r="E478" s="200" t="s">
        <v>5575</v>
      </c>
      <c r="F478" s="79"/>
    </row>
    <row r="479" spans="1:6" ht="13.5">
      <c r="A479" s="203" t="s">
        <v>2467</v>
      </c>
      <c r="B479" s="203" t="s">
        <v>5618</v>
      </c>
      <c r="C479" s="200">
        <f>COUNTIF(単語!G:L,単語辞書!A479)</f>
        <v>2</v>
      </c>
      <c r="D479" s="202"/>
      <c r="E479" s="200" t="s">
        <v>5575</v>
      </c>
      <c r="F479" s="79"/>
    </row>
    <row r="480" spans="1:6" ht="13.5">
      <c r="A480" s="203" t="s">
        <v>3585</v>
      </c>
      <c r="B480" s="203" t="s">
        <v>5617</v>
      </c>
      <c r="C480" s="200">
        <f>COUNTIF(単語!G:L,単語辞書!A480)</f>
        <v>0</v>
      </c>
      <c r="D480" s="202"/>
      <c r="E480" s="200" t="s">
        <v>5575</v>
      </c>
      <c r="F480" s="79"/>
    </row>
    <row r="481" spans="1:6" ht="13.5">
      <c r="A481" s="203" t="s">
        <v>5616</v>
      </c>
      <c r="B481" s="203" t="s">
        <v>5615</v>
      </c>
      <c r="C481" s="200">
        <f>COUNTIF(単語!G:L,単語辞書!A481)</f>
        <v>1</v>
      </c>
      <c r="D481" s="202"/>
      <c r="E481" s="200" t="s">
        <v>5575</v>
      </c>
      <c r="F481" s="79"/>
    </row>
    <row r="482" spans="1:6" ht="13.5">
      <c r="A482" s="203" t="s">
        <v>3260</v>
      </c>
      <c r="B482" s="203" t="s">
        <v>5614</v>
      </c>
      <c r="C482" s="200">
        <f>COUNTIF(単語!G:L,単語辞書!A482)</f>
        <v>1</v>
      </c>
      <c r="D482" s="202"/>
      <c r="E482" s="200" t="s">
        <v>5575</v>
      </c>
      <c r="F482" s="79"/>
    </row>
    <row r="483" spans="1:6" ht="13.5">
      <c r="A483" s="203" t="s">
        <v>2698</v>
      </c>
      <c r="B483" s="203" t="s">
        <v>5613</v>
      </c>
      <c r="C483" s="200">
        <f>COUNTIF(単語!G:L,単語辞書!A483)</f>
        <v>4</v>
      </c>
      <c r="D483" s="202"/>
      <c r="E483" s="200" t="s">
        <v>5575</v>
      </c>
      <c r="F483" s="79"/>
    </row>
    <row r="484" spans="1:6" ht="13.5">
      <c r="A484" s="203" t="s">
        <v>392</v>
      </c>
      <c r="B484" s="203" t="s">
        <v>5612</v>
      </c>
      <c r="C484" s="200">
        <f>COUNTIF(単語!G:L,単語辞書!A484)</f>
        <v>48</v>
      </c>
      <c r="D484" s="202"/>
      <c r="E484" s="200" t="s">
        <v>5575</v>
      </c>
      <c r="F484" s="79"/>
    </row>
    <row r="485" spans="1:6" ht="13.5">
      <c r="A485" s="203" t="s">
        <v>5611</v>
      </c>
      <c r="B485" s="203" t="s">
        <v>5610</v>
      </c>
      <c r="C485" s="200">
        <f>COUNTIF(単語!G:L,単語辞書!A485)</f>
        <v>1</v>
      </c>
      <c r="D485" s="202"/>
      <c r="E485" s="200" t="s">
        <v>5575</v>
      </c>
      <c r="F485" s="79"/>
    </row>
    <row r="486" spans="1:6" ht="13.5">
      <c r="A486" s="203" t="s">
        <v>3287</v>
      </c>
      <c r="B486" s="203" t="s">
        <v>5609</v>
      </c>
      <c r="C486" s="200">
        <f>COUNTIF(単語!G:L,単語辞書!A486)</f>
        <v>1</v>
      </c>
      <c r="D486" s="202"/>
      <c r="E486" s="200" t="s">
        <v>5575</v>
      </c>
      <c r="F486" s="79"/>
    </row>
    <row r="487" spans="1:6" ht="13.5">
      <c r="A487" s="203" t="s">
        <v>3542</v>
      </c>
      <c r="B487" s="203" t="s">
        <v>5608</v>
      </c>
      <c r="C487" s="200">
        <f>COUNTIF(単語!G:L,単語辞書!A487)</f>
        <v>1</v>
      </c>
      <c r="D487" s="202"/>
      <c r="E487" s="200" t="s">
        <v>5575</v>
      </c>
      <c r="F487" s="79"/>
    </row>
    <row r="488" spans="1:6" ht="13.5">
      <c r="A488" s="203" t="s">
        <v>5607</v>
      </c>
      <c r="B488" s="203" t="s">
        <v>5606</v>
      </c>
      <c r="C488" s="200">
        <f>COUNTIF(単語!G:L,単語辞書!A488)</f>
        <v>3</v>
      </c>
      <c r="D488" s="202"/>
      <c r="E488" s="200" t="s">
        <v>5575</v>
      </c>
      <c r="F488" s="79"/>
    </row>
    <row r="489" spans="1:6" ht="13.5">
      <c r="A489" s="203" t="s">
        <v>432</v>
      </c>
      <c r="B489" s="203" t="s">
        <v>5605</v>
      </c>
      <c r="C489" s="200">
        <f>COUNTIF(単語!G:L,単語辞書!A489)</f>
        <v>35</v>
      </c>
      <c r="D489" s="202"/>
      <c r="E489" s="200" t="s">
        <v>5575</v>
      </c>
      <c r="F489" s="79"/>
    </row>
    <row r="490" spans="1:6" ht="13.5">
      <c r="A490" s="203" t="s">
        <v>3093</v>
      </c>
      <c r="B490" s="203" t="s">
        <v>5604</v>
      </c>
      <c r="C490" s="200">
        <f>COUNTIF(単語!G:L,単語辞書!A490)</f>
        <v>10</v>
      </c>
      <c r="D490" s="202"/>
      <c r="E490" s="200" t="s">
        <v>5575</v>
      </c>
      <c r="F490" s="79"/>
    </row>
    <row r="491" spans="1:6" ht="13.5">
      <c r="A491" s="203" t="s">
        <v>4200</v>
      </c>
      <c r="B491" s="203" t="s">
        <v>5603</v>
      </c>
      <c r="C491" s="200">
        <f>COUNTIF(単語!G:L,単語辞書!A491)</f>
        <v>2</v>
      </c>
      <c r="D491" s="202"/>
      <c r="E491" s="200" t="s">
        <v>5575</v>
      </c>
      <c r="F491" s="79"/>
    </row>
    <row r="492" spans="1:6" ht="13.5">
      <c r="A492" s="203" t="s">
        <v>5602</v>
      </c>
      <c r="B492" s="203" t="s">
        <v>5601</v>
      </c>
      <c r="C492" s="200">
        <f>COUNTIF(単語!G:L,単語辞書!A492)</f>
        <v>2</v>
      </c>
      <c r="D492" s="202"/>
      <c r="E492" s="200" t="s">
        <v>5575</v>
      </c>
      <c r="F492" s="79"/>
    </row>
    <row r="493" spans="1:6" ht="13.5">
      <c r="A493" s="203" t="s">
        <v>4197</v>
      </c>
      <c r="B493" s="203" t="s">
        <v>5600</v>
      </c>
      <c r="C493" s="200">
        <f>COUNTIF(単語!G:L,単語辞書!A493)</f>
        <v>2</v>
      </c>
      <c r="D493" s="202"/>
      <c r="E493" s="200" t="s">
        <v>5575</v>
      </c>
      <c r="F493" s="79"/>
    </row>
    <row r="494" spans="1:6" ht="13.5">
      <c r="A494" s="203" t="s">
        <v>2334</v>
      </c>
      <c r="B494" s="210" t="s">
        <v>5122</v>
      </c>
      <c r="C494" s="200">
        <f>COUNTIF(単語!G:L,単語辞書!A494)</f>
        <v>33</v>
      </c>
      <c r="D494" s="202"/>
      <c r="E494" s="200" t="s">
        <v>5575</v>
      </c>
      <c r="F494" s="79"/>
    </row>
    <row r="495" spans="1:6" ht="13.5">
      <c r="A495" s="203" t="s">
        <v>2491</v>
      </c>
      <c r="B495" s="203" t="s">
        <v>5599</v>
      </c>
      <c r="C495" s="200">
        <f>COUNTIF(単語!G:L,単語辞書!A495)</f>
        <v>4</v>
      </c>
      <c r="D495" s="202"/>
      <c r="E495" s="200" t="s">
        <v>5575</v>
      </c>
      <c r="F495" s="79"/>
    </row>
    <row r="496" spans="1:6" ht="13.5">
      <c r="A496" s="203" t="s">
        <v>3712</v>
      </c>
      <c r="B496" s="203" t="s">
        <v>5598</v>
      </c>
      <c r="C496" s="200">
        <f>COUNTIF(単語!G:L,単語辞書!A496)</f>
        <v>4</v>
      </c>
      <c r="D496" s="202"/>
      <c r="E496" s="200" t="s">
        <v>5575</v>
      </c>
      <c r="F496" s="79"/>
    </row>
    <row r="497" spans="1:6" ht="13.5">
      <c r="A497" s="203" t="s">
        <v>444</v>
      </c>
      <c r="B497" s="203" t="s">
        <v>5597</v>
      </c>
      <c r="C497" s="200">
        <f>COUNTIF(単語!G:L,単語辞書!A497)</f>
        <v>24</v>
      </c>
      <c r="D497" s="202"/>
      <c r="E497" s="200" t="s">
        <v>5575</v>
      </c>
      <c r="F497" s="79"/>
    </row>
    <row r="498" spans="1:6" ht="13.5">
      <c r="A498" s="203" t="s">
        <v>1014</v>
      </c>
      <c r="B498" s="203" t="s">
        <v>5596</v>
      </c>
      <c r="C498" s="200">
        <f>COUNTIF(単語!G:L,単語辞書!A498)</f>
        <v>8</v>
      </c>
      <c r="D498" s="202"/>
      <c r="E498" s="200" t="s">
        <v>5575</v>
      </c>
      <c r="F498" s="79"/>
    </row>
    <row r="499" spans="1:6" ht="13.5">
      <c r="A499" s="203" t="s">
        <v>1948</v>
      </c>
      <c r="B499" s="203" t="s">
        <v>5595</v>
      </c>
      <c r="C499" s="200">
        <f>COUNTIF(単語!G:L,単語辞書!A499)</f>
        <v>2</v>
      </c>
      <c r="D499" s="202"/>
      <c r="E499" s="200" t="s">
        <v>5575</v>
      </c>
      <c r="F499" s="79"/>
    </row>
    <row r="500" spans="1:6" ht="13.5">
      <c r="A500" s="203" t="s">
        <v>451</v>
      </c>
      <c r="B500" s="203" t="s">
        <v>5594</v>
      </c>
      <c r="C500" s="200">
        <f>COUNTIF(単語!G:L,単語辞書!A500)</f>
        <v>14</v>
      </c>
      <c r="D500" s="202"/>
      <c r="E500" s="200" t="s">
        <v>5575</v>
      </c>
      <c r="F500" s="79"/>
    </row>
    <row r="501" spans="1:6" ht="13.5">
      <c r="A501" s="203" t="s">
        <v>3258</v>
      </c>
      <c r="B501" s="203" t="s">
        <v>5593</v>
      </c>
      <c r="C501" s="200">
        <f>COUNTIF(単語!G:L,単語辞書!A501)</f>
        <v>1</v>
      </c>
      <c r="D501" s="202"/>
      <c r="E501" s="200" t="s">
        <v>5575</v>
      </c>
      <c r="F501" s="79"/>
    </row>
    <row r="502" spans="1:6" ht="13.5">
      <c r="A502" s="203" t="s">
        <v>1864</v>
      </c>
      <c r="B502" s="203" t="s">
        <v>5592</v>
      </c>
      <c r="C502" s="200">
        <f>COUNTIF(単語!G:L,単語辞書!A502)</f>
        <v>4</v>
      </c>
      <c r="D502" s="202"/>
      <c r="E502" s="200" t="s">
        <v>5575</v>
      </c>
      <c r="F502" s="79"/>
    </row>
    <row r="503" spans="1:6" ht="13.5">
      <c r="A503" s="203" t="s">
        <v>3227</v>
      </c>
      <c r="B503" s="203" t="s">
        <v>5591</v>
      </c>
      <c r="C503" s="200">
        <f>COUNTIF(単語!G:L,単語辞書!A503)</f>
        <v>3</v>
      </c>
      <c r="D503" s="202"/>
      <c r="E503" s="200" t="s">
        <v>5575</v>
      </c>
      <c r="F503" s="79"/>
    </row>
    <row r="504" spans="1:6" ht="13.5">
      <c r="A504" s="203" t="s">
        <v>3530</v>
      </c>
      <c r="B504" s="203" t="s">
        <v>5590</v>
      </c>
      <c r="C504" s="200">
        <f>COUNTIF(単語!G:L,単語辞書!A504)</f>
        <v>2</v>
      </c>
      <c r="D504" s="202"/>
      <c r="E504" s="200" t="s">
        <v>5575</v>
      </c>
      <c r="F504" s="79"/>
    </row>
    <row r="505" spans="1:6" ht="13.5">
      <c r="A505" s="203" t="s">
        <v>5589</v>
      </c>
      <c r="B505" s="203" t="s">
        <v>5588</v>
      </c>
      <c r="C505" s="200">
        <f>COUNTIF(単語!G:L,単語辞書!A505)</f>
        <v>0</v>
      </c>
      <c r="D505" s="202"/>
      <c r="E505" s="200" t="s">
        <v>5575</v>
      </c>
      <c r="F505" s="79"/>
    </row>
    <row r="506" spans="1:6" ht="13.5">
      <c r="A506" s="203" t="s">
        <v>3376</v>
      </c>
      <c r="B506" s="203" t="s">
        <v>4888</v>
      </c>
      <c r="C506" s="200">
        <f>COUNTIF(単語!G:L,単語辞書!A506)</f>
        <v>28</v>
      </c>
      <c r="D506" s="202"/>
      <c r="E506" s="200" t="s">
        <v>5575</v>
      </c>
      <c r="F506" s="79"/>
    </row>
    <row r="507" spans="1:6" ht="13.5">
      <c r="A507" s="203" t="s">
        <v>3322</v>
      </c>
      <c r="B507" s="203" t="s">
        <v>5587</v>
      </c>
      <c r="C507" s="200">
        <f>COUNTIF(単語!G:L,単語辞書!A507)</f>
        <v>1</v>
      </c>
      <c r="D507" s="202"/>
      <c r="E507" s="200" t="s">
        <v>5575</v>
      </c>
      <c r="F507" s="79"/>
    </row>
    <row r="508" spans="1:6" ht="13.5">
      <c r="A508" s="203" t="s">
        <v>5586</v>
      </c>
      <c r="B508" s="203" t="s">
        <v>5585</v>
      </c>
      <c r="C508" s="200">
        <f>COUNTIF(単語!G:L,単語辞書!A508)</f>
        <v>0</v>
      </c>
      <c r="D508" s="202"/>
      <c r="E508" s="200" t="s">
        <v>5575</v>
      </c>
      <c r="F508" s="79"/>
    </row>
    <row r="509" spans="1:6" ht="13.5">
      <c r="A509" s="203" t="s">
        <v>5584</v>
      </c>
      <c r="B509" s="203" t="s">
        <v>5583</v>
      </c>
      <c r="C509" s="200">
        <f>COUNTIF(単語!G:L,単語辞書!A509)</f>
        <v>26</v>
      </c>
      <c r="D509" s="202"/>
      <c r="E509" s="200" t="s">
        <v>5575</v>
      </c>
      <c r="F509" s="79"/>
    </row>
    <row r="510" spans="1:6" ht="13.5">
      <c r="A510" s="203" t="s">
        <v>3521</v>
      </c>
      <c r="B510" s="203" t="s">
        <v>5582</v>
      </c>
      <c r="C510" s="200">
        <f>COUNTIF(単語!G:L,単語辞書!A510)</f>
        <v>3</v>
      </c>
      <c r="D510" s="202"/>
      <c r="E510" s="200" t="s">
        <v>5575</v>
      </c>
      <c r="F510" s="79"/>
    </row>
    <row r="511" spans="1:6" ht="13.5">
      <c r="A511" s="203" t="s">
        <v>3528</v>
      </c>
      <c r="B511" s="203" t="s">
        <v>5581</v>
      </c>
      <c r="C511" s="200">
        <f>COUNTIF(単語!G:L,単語辞書!A511)</f>
        <v>1</v>
      </c>
      <c r="D511" s="202"/>
      <c r="E511" s="200" t="s">
        <v>5575</v>
      </c>
      <c r="F511" s="79"/>
    </row>
    <row r="512" spans="1:6" ht="13.5">
      <c r="A512" s="203" t="s">
        <v>3527</v>
      </c>
      <c r="B512" s="203" t="s">
        <v>5580</v>
      </c>
      <c r="C512" s="200">
        <f>COUNTIF(単語!G:L,単語辞書!A512)</f>
        <v>1</v>
      </c>
      <c r="D512" s="202"/>
      <c r="E512" s="200" t="s">
        <v>5575</v>
      </c>
      <c r="F512" s="79"/>
    </row>
    <row r="513" spans="1:6" ht="13.5">
      <c r="A513" s="203" t="s">
        <v>461</v>
      </c>
      <c r="B513" s="203" t="s">
        <v>5579</v>
      </c>
      <c r="C513" s="200">
        <f>COUNTIF(単語!G:L,単語辞書!A513)</f>
        <v>6</v>
      </c>
      <c r="D513" s="202"/>
      <c r="E513" s="200" t="s">
        <v>5575</v>
      </c>
      <c r="F513" s="79"/>
    </row>
    <row r="514" spans="1:6" ht="13.5">
      <c r="A514" s="203" t="s">
        <v>5578</v>
      </c>
      <c r="B514" s="203" t="s">
        <v>5577</v>
      </c>
      <c r="C514" s="200">
        <f>COUNTIF(単語!G:L,単語辞書!A514)</f>
        <v>1</v>
      </c>
      <c r="D514" s="202"/>
      <c r="E514" s="200" t="s">
        <v>5575</v>
      </c>
      <c r="F514" s="79"/>
    </row>
    <row r="515" spans="1:6" ht="13.5">
      <c r="A515" s="203" t="s">
        <v>2428</v>
      </c>
      <c r="B515" s="203" t="s">
        <v>5576</v>
      </c>
      <c r="C515" s="200">
        <f>COUNTIF(単語!G:L,単語辞書!A515)</f>
        <v>2</v>
      </c>
      <c r="D515" s="202"/>
      <c r="E515" s="200" t="s">
        <v>5575</v>
      </c>
      <c r="F515" s="79"/>
    </row>
    <row r="516" spans="1:6" ht="13.5">
      <c r="A516" s="203" t="s">
        <v>5574</v>
      </c>
      <c r="B516" s="203" t="s">
        <v>5573</v>
      </c>
      <c r="C516" s="200">
        <f>COUNTIF(単語!G:L,単語辞書!A516)</f>
        <v>1</v>
      </c>
      <c r="D516" s="202"/>
      <c r="E516" s="200" t="s">
        <v>1571</v>
      </c>
      <c r="F516" s="79"/>
    </row>
    <row r="517" spans="1:6" ht="13.5">
      <c r="A517" s="203" t="s">
        <v>5572</v>
      </c>
      <c r="B517" s="203" t="s">
        <v>5571</v>
      </c>
      <c r="C517" s="200">
        <f>COUNTIF(単語!G:L,単語辞書!A517)</f>
        <v>0</v>
      </c>
      <c r="D517" s="202"/>
      <c r="E517" s="200" t="s">
        <v>1571</v>
      </c>
      <c r="F517" s="79"/>
    </row>
    <row r="518" spans="1:6" ht="13.5">
      <c r="A518" s="203" t="s">
        <v>3518</v>
      </c>
      <c r="B518" s="203" t="s">
        <v>5570</v>
      </c>
      <c r="C518" s="200">
        <f>COUNTIF(単語!G:L,単語辞書!A518)</f>
        <v>8</v>
      </c>
      <c r="D518" s="202"/>
      <c r="E518" s="200" t="s">
        <v>1571</v>
      </c>
      <c r="F518" s="79"/>
    </row>
    <row r="519" spans="1:6" ht="13.5">
      <c r="A519" s="203" t="s">
        <v>4204</v>
      </c>
      <c r="B519" s="210" t="s">
        <v>5569</v>
      </c>
      <c r="C519" s="200">
        <f>COUNTIF(単語!G:L,単語辞書!A519)</f>
        <v>2</v>
      </c>
      <c r="D519" s="202"/>
      <c r="E519" s="200" t="s">
        <v>1571</v>
      </c>
      <c r="F519" s="79"/>
    </row>
    <row r="520" spans="1:6" ht="13.5">
      <c r="A520" s="203" t="s">
        <v>4116</v>
      </c>
      <c r="B520" s="203" t="s">
        <v>5568</v>
      </c>
      <c r="C520" s="200">
        <f>COUNTIF(単語!G:L,単語辞書!A520)</f>
        <v>1</v>
      </c>
      <c r="D520" s="202"/>
      <c r="E520" s="200" t="s">
        <v>1571</v>
      </c>
      <c r="F520" s="79"/>
    </row>
    <row r="521" spans="1:6" ht="13.5">
      <c r="A521" s="203" t="s">
        <v>3516</v>
      </c>
      <c r="B521" s="203" t="s">
        <v>4888</v>
      </c>
      <c r="C521" s="200">
        <f>COUNTIF(単語!G:L,単語辞書!A521)</f>
        <v>1</v>
      </c>
      <c r="D521" s="202"/>
      <c r="E521" s="200" t="s">
        <v>1571</v>
      </c>
      <c r="F521" s="79"/>
    </row>
    <row r="522" spans="1:6" ht="13.5">
      <c r="A522" s="203" t="s">
        <v>2960</v>
      </c>
      <c r="B522" s="203" t="s">
        <v>5567</v>
      </c>
      <c r="C522" s="200">
        <f>COUNTIF(単語!G:L,単語辞書!A522)</f>
        <v>3</v>
      </c>
      <c r="D522" s="202"/>
      <c r="E522" s="200" t="s">
        <v>1571</v>
      </c>
      <c r="F522" s="79"/>
    </row>
    <row r="523" spans="1:6" ht="13.5">
      <c r="A523" s="203" t="s">
        <v>917</v>
      </c>
      <c r="B523" s="210" t="s">
        <v>5566</v>
      </c>
      <c r="C523" s="200">
        <f>COUNTIF(単語!G:L,単語辞書!A523)</f>
        <v>8</v>
      </c>
      <c r="D523" s="202"/>
      <c r="E523" s="200" t="s">
        <v>1571</v>
      </c>
      <c r="F523" s="79"/>
    </row>
    <row r="524" spans="1:6" ht="13.5">
      <c r="A524" s="203" t="s">
        <v>1299</v>
      </c>
      <c r="B524" s="203" t="s">
        <v>5565</v>
      </c>
      <c r="C524" s="200">
        <f>COUNTIF(単語!G:L,単語辞書!A524)</f>
        <v>6</v>
      </c>
      <c r="D524" s="202"/>
      <c r="E524" s="200" t="s">
        <v>1571</v>
      </c>
      <c r="F524" s="79"/>
    </row>
    <row r="525" spans="1:6" ht="13.5">
      <c r="A525" s="203" t="s">
        <v>3509</v>
      </c>
      <c r="B525" s="203" t="s">
        <v>5564</v>
      </c>
      <c r="C525" s="200">
        <f>COUNTIF(単語!G:L,単語辞書!A525)</f>
        <v>3</v>
      </c>
      <c r="D525" s="202"/>
      <c r="E525" s="200" t="s">
        <v>1571</v>
      </c>
      <c r="F525" s="79"/>
    </row>
    <row r="526" spans="1:6" ht="13.5">
      <c r="A526" s="203" t="s">
        <v>5563</v>
      </c>
      <c r="B526" s="203" t="s">
        <v>5562</v>
      </c>
      <c r="C526" s="200">
        <f>COUNTIF(単語!G:L,単語辞書!A526)</f>
        <v>2</v>
      </c>
      <c r="D526" s="202"/>
      <c r="E526" s="200" t="s">
        <v>1571</v>
      </c>
      <c r="F526" s="79"/>
    </row>
    <row r="527" spans="1:6" ht="13.5">
      <c r="A527" s="203" t="s">
        <v>3256</v>
      </c>
      <c r="B527" s="203" t="s">
        <v>5561</v>
      </c>
      <c r="C527" s="200">
        <f>COUNTIF(単語!G:L,単語辞書!A527)</f>
        <v>1</v>
      </c>
      <c r="D527" s="202"/>
      <c r="E527" s="200" t="s">
        <v>1571</v>
      </c>
      <c r="F527" s="79"/>
    </row>
    <row r="528" spans="1:6" ht="13.5">
      <c r="A528" s="203" t="s">
        <v>3499</v>
      </c>
      <c r="B528" s="203" t="s">
        <v>5560</v>
      </c>
      <c r="C528" s="200">
        <f>COUNTIF(単語!G:L,単語辞書!A528)</f>
        <v>4</v>
      </c>
      <c r="D528" s="202"/>
      <c r="E528" s="200" t="s">
        <v>1571</v>
      </c>
      <c r="F528" s="79"/>
    </row>
    <row r="529" spans="1:6" ht="13.5">
      <c r="A529" s="203" t="s">
        <v>2440</v>
      </c>
      <c r="B529" s="203" t="s">
        <v>5559</v>
      </c>
      <c r="C529" s="200">
        <f>COUNTIF(単語!G:L,単語辞書!A529)</f>
        <v>2</v>
      </c>
      <c r="D529" s="202"/>
      <c r="E529" s="200" t="s">
        <v>1571</v>
      </c>
      <c r="F529" s="79"/>
    </row>
    <row r="530" spans="1:6" ht="13.5">
      <c r="A530" s="203" t="s">
        <v>2659</v>
      </c>
      <c r="B530" s="203" t="s">
        <v>5558</v>
      </c>
      <c r="C530" s="200">
        <f>COUNTIF(単語!G:L,単語辞書!A530)</f>
        <v>2</v>
      </c>
      <c r="D530" s="202"/>
      <c r="E530" s="200" t="s">
        <v>1571</v>
      </c>
      <c r="F530" s="79"/>
    </row>
    <row r="531" spans="1:6" ht="13.5">
      <c r="A531" s="203" t="s">
        <v>3495</v>
      </c>
      <c r="B531" s="203" t="s">
        <v>4840</v>
      </c>
      <c r="C531" s="200">
        <f>COUNTIF(単語!G:L,単語辞書!A531)</f>
        <v>2</v>
      </c>
      <c r="D531" s="202"/>
      <c r="E531" s="200" t="s">
        <v>1571</v>
      </c>
      <c r="F531" s="79"/>
    </row>
    <row r="532" spans="1:6" ht="13.5">
      <c r="A532" s="203" t="s">
        <v>3496</v>
      </c>
      <c r="B532" s="203" t="s">
        <v>5557</v>
      </c>
      <c r="C532" s="200">
        <f>COUNTIF(単語!G:L,単語辞書!A532)</f>
        <v>1</v>
      </c>
      <c r="D532" s="202"/>
      <c r="E532" s="200" t="s">
        <v>1571</v>
      </c>
      <c r="F532" s="79"/>
    </row>
    <row r="533" spans="1:6" ht="13.5">
      <c r="A533" s="203" t="s">
        <v>883</v>
      </c>
      <c r="B533" s="203" t="s">
        <v>5556</v>
      </c>
      <c r="C533" s="200">
        <f>COUNTIF(単語!G:L,単語辞書!A533)</f>
        <v>14</v>
      </c>
      <c r="D533" s="202" t="s">
        <v>5555</v>
      </c>
      <c r="E533" s="200" t="s">
        <v>1571</v>
      </c>
      <c r="F533" s="79"/>
    </row>
    <row r="534" spans="1:6" ht="13.5">
      <c r="A534" s="203" t="s">
        <v>3026</v>
      </c>
      <c r="B534" s="203" t="s">
        <v>5554</v>
      </c>
      <c r="C534" s="200">
        <f>COUNTIF(単語!G:L,単語辞書!A534)</f>
        <v>3</v>
      </c>
      <c r="D534" s="202"/>
      <c r="E534" s="200" t="s">
        <v>1571</v>
      </c>
      <c r="F534" s="79"/>
    </row>
    <row r="535" spans="1:6" ht="13.5">
      <c r="A535" s="203" t="s">
        <v>3488</v>
      </c>
      <c r="B535" s="203" t="s">
        <v>5553</v>
      </c>
      <c r="C535" s="200">
        <f>COUNTIF(単語!G:L,単語辞書!A535)</f>
        <v>1</v>
      </c>
      <c r="D535" s="202"/>
      <c r="E535" s="200" t="s">
        <v>1571</v>
      </c>
      <c r="F535" s="79"/>
    </row>
    <row r="536" spans="1:6" ht="13.5">
      <c r="A536" s="203" t="s">
        <v>3312</v>
      </c>
      <c r="B536" s="203" t="s">
        <v>5552</v>
      </c>
      <c r="C536" s="200">
        <f>COUNTIF(単語!G:L,単語辞書!A536)</f>
        <v>9</v>
      </c>
      <c r="D536" s="202"/>
      <c r="E536" s="200" t="s">
        <v>1571</v>
      </c>
      <c r="F536" s="79"/>
    </row>
    <row r="537" spans="1:6" ht="13.5">
      <c r="A537" s="203" t="s">
        <v>448</v>
      </c>
      <c r="B537" s="203" t="s">
        <v>5551</v>
      </c>
      <c r="C537" s="200">
        <f>COUNTIF(単語!G:L,単語辞書!A537)</f>
        <v>3</v>
      </c>
      <c r="D537" s="202"/>
      <c r="E537" s="200" t="s">
        <v>1571</v>
      </c>
      <c r="F537" s="79"/>
    </row>
    <row r="538" spans="1:6" ht="13.5">
      <c r="A538" s="203" t="s">
        <v>3486</v>
      </c>
      <c r="B538" s="203" t="s">
        <v>5550</v>
      </c>
      <c r="C538" s="200">
        <f>COUNTIF(単語!G:L,単語辞書!A538)</f>
        <v>1</v>
      </c>
      <c r="D538" s="202"/>
      <c r="E538" s="200" t="s">
        <v>1571</v>
      </c>
      <c r="F538" s="79"/>
    </row>
    <row r="539" spans="1:6" ht="13.5">
      <c r="A539" s="203" t="s">
        <v>4285</v>
      </c>
      <c r="B539" s="203" t="s">
        <v>5549</v>
      </c>
      <c r="C539" s="200">
        <f>COUNTIF(単語!G:L,単語辞書!A539)</f>
        <v>1</v>
      </c>
      <c r="D539" s="202"/>
      <c r="E539" s="200" t="s">
        <v>1571</v>
      </c>
      <c r="F539" s="79"/>
    </row>
    <row r="540" spans="1:6" ht="13.5">
      <c r="A540" s="203" t="s">
        <v>5548</v>
      </c>
      <c r="B540" s="203" t="s">
        <v>5547</v>
      </c>
      <c r="C540" s="200">
        <f>COUNTIF(単語!G:L,単語辞書!A540)</f>
        <v>32</v>
      </c>
      <c r="D540" s="202" t="s">
        <v>5546</v>
      </c>
      <c r="E540" s="200" t="s">
        <v>1571</v>
      </c>
      <c r="F540" s="79"/>
    </row>
    <row r="541" spans="1:6" ht="13.5">
      <c r="A541" s="203" t="s">
        <v>3991</v>
      </c>
      <c r="B541" s="203" t="s">
        <v>5545</v>
      </c>
      <c r="C541" s="200">
        <f>COUNTIF(単語!G:L,単語辞書!A541)</f>
        <v>1</v>
      </c>
      <c r="D541" s="202"/>
      <c r="E541" s="200" t="s">
        <v>1571</v>
      </c>
      <c r="F541" s="79"/>
    </row>
    <row r="542" spans="1:6" ht="13.5">
      <c r="A542" s="203" t="s">
        <v>4071</v>
      </c>
      <c r="B542" s="203" t="s">
        <v>5544</v>
      </c>
      <c r="C542" s="200">
        <f>COUNTIF(単語!G:L,単語辞書!A542)</f>
        <v>1</v>
      </c>
      <c r="D542" s="202"/>
      <c r="E542" s="200" t="s">
        <v>1571</v>
      </c>
      <c r="F542" s="79"/>
    </row>
    <row r="543" spans="1:6" ht="13.5">
      <c r="A543" s="203" t="s">
        <v>2879</v>
      </c>
      <c r="B543" s="203" t="s">
        <v>5543</v>
      </c>
      <c r="C543" s="200">
        <f>COUNTIF(単語!G:L,単語辞書!A543)</f>
        <v>2</v>
      </c>
      <c r="D543" s="202"/>
      <c r="E543" s="200" t="s">
        <v>1571</v>
      </c>
      <c r="F543" s="79"/>
    </row>
    <row r="544" spans="1:6" ht="13.5">
      <c r="A544" s="213" t="s">
        <v>5542</v>
      </c>
      <c r="B544" s="203" t="s">
        <v>5541</v>
      </c>
      <c r="C544" s="200">
        <f>COUNTIF(単語!G:L,単語辞書!A544)</f>
        <v>1</v>
      </c>
      <c r="D544" s="202"/>
      <c r="E544" s="200" t="s">
        <v>1571</v>
      </c>
      <c r="F544" s="79"/>
    </row>
    <row r="545" spans="1:6" ht="13.5">
      <c r="A545" s="203" t="s">
        <v>3441</v>
      </c>
      <c r="B545" s="203" t="s">
        <v>5540</v>
      </c>
      <c r="C545" s="200">
        <f>COUNTIF(単語!G:L,単語辞書!A545)</f>
        <v>1</v>
      </c>
      <c r="D545" s="202"/>
      <c r="E545" s="200" t="s">
        <v>1571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1571</v>
      </c>
      <c r="F546" s="79"/>
    </row>
    <row r="547" spans="1:6" ht="13.5">
      <c r="A547" s="203" t="s">
        <v>5539</v>
      </c>
      <c r="B547" s="203" t="s">
        <v>5538</v>
      </c>
      <c r="C547" s="200">
        <f>COUNTIF(単語!G:L,単語辞書!A547)</f>
        <v>1</v>
      </c>
      <c r="D547" s="202"/>
      <c r="E547" s="200" t="s">
        <v>1571</v>
      </c>
      <c r="F547" s="79"/>
    </row>
    <row r="548" spans="1:6" ht="13.5">
      <c r="A548" s="203" t="s">
        <v>3037</v>
      </c>
      <c r="B548" s="203" t="s">
        <v>5537</v>
      </c>
      <c r="C548" s="200">
        <f>COUNTIF(単語!G:L,単語辞書!A548)</f>
        <v>3</v>
      </c>
      <c r="D548" s="202"/>
      <c r="E548" s="200" t="s">
        <v>1571</v>
      </c>
      <c r="F548" s="79"/>
    </row>
    <row r="549" spans="1:6" ht="13.5">
      <c r="A549" s="203" t="s">
        <v>4177</v>
      </c>
      <c r="B549" s="203" t="s">
        <v>5536</v>
      </c>
      <c r="C549" s="200">
        <f>COUNTIF(単語!G:L,単語辞書!A549)</f>
        <v>3</v>
      </c>
      <c r="D549" s="202"/>
      <c r="E549" s="200" t="s">
        <v>1571</v>
      </c>
      <c r="F549" s="79"/>
    </row>
    <row r="550" spans="1:6" ht="13.5">
      <c r="A550" s="203" t="s">
        <v>842</v>
      </c>
      <c r="B550" s="210" t="s">
        <v>5535</v>
      </c>
      <c r="C550" s="200">
        <f>COUNTIF(単語!G:L,単語辞書!A550)</f>
        <v>16</v>
      </c>
      <c r="D550" s="202"/>
      <c r="E550" s="200" t="s">
        <v>1571</v>
      </c>
      <c r="F550" s="79"/>
    </row>
    <row r="551" spans="1:6" ht="13.5">
      <c r="A551" s="203" t="s">
        <v>831</v>
      </c>
      <c r="B551" s="203" t="s">
        <v>5534</v>
      </c>
      <c r="C551" s="200">
        <f>COUNTIF(単語!G:L,単語辞書!A551)</f>
        <v>27</v>
      </c>
      <c r="D551" s="202"/>
      <c r="E551" s="200" t="s">
        <v>1571</v>
      </c>
      <c r="F551" s="79"/>
    </row>
    <row r="552" spans="1:6" ht="13.5">
      <c r="A552" s="203" t="s">
        <v>2492</v>
      </c>
      <c r="B552" s="203" t="s">
        <v>5533</v>
      </c>
      <c r="C552" s="200">
        <f>COUNTIF(単語!G:L,単語辞書!A552)</f>
        <v>4</v>
      </c>
      <c r="D552" s="202"/>
      <c r="E552" s="200" t="s">
        <v>1571</v>
      </c>
      <c r="F552" s="79"/>
    </row>
    <row r="553" spans="1:6" ht="13.5">
      <c r="A553" s="203" t="s">
        <v>3092</v>
      </c>
      <c r="B553" s="203" t="s">
        <v>5532</v>
      </c>
      <c r="C553" s="200">
        <f>COUNTIF(単語!G:L,単語辞書!A553)</f>
        <v>6</v>
      </c>
      <c r="D553" s="202"/>
      <c r="E553" s="200" t="s">
        <v>1571</v>
      </c>
      <c r="F553" s="79"/>
    </row>
    <row r="554" spans="1:6" ht="13.5">
      <c r="A554" s="203" t="s">
        <v>5531</v>
      </c>
      <c r="B554" s="203" t="s">
        <v>5530</v>
      </c>
      <c r="C554" s="200">
        <f>COUNTIF(単語!G:L,単語辞書!A554)</f>
        <v>2</v>
      </c>
      <c r="D554" s="202"/>
      <c r="E554" s="200" t="s">
        <v>1571</v>
      </c>
      <c r="F554" s="79"/>
    </row>
    <row r="555" spans="1:6" ht="13.5">
      <c r="A555" s="203" t="s">
        <v>2579</v>
      </c>
      <c r="B555" s="203" t="s">
        <v>5529</v>
      </c>
      <c r="C555" s="200">
        <f>COUNTIF(単語!G:L,単語辞書!A555)</f>
        <v>1</v>
      </c>
      <c r="D555" s="202"/>
      <c r="E555" s="200" t="s">
        <v>1571</v>
      </c>
      <c r="F555" s="79"/>
    </row>
    <row r="556" spans="1:6" ht="13.5">
      <c r="A556" s="203" t="s">
        <v>2844</v>
      </c>
      <c r="B556" s="203" t="s">
        <v>5528</v>
      </c>
      <c r="C556" s="200">
        <f>COUNTIF(単語!G:L,単語辞書!A556)</f>
        <v>13</v>
      </c>
      <c r="D556" s="202"/>
      <c r="E556" s="200" t="s">
        <v>1571</v>
      </c>
      <c r="F556" s="79"/>
    </row>
    <row r="557" spans="1:6" ht="13.5">
      <c r="A557" s="203" t="s">
        <v>2681</v>
      </c>
      <c r="B557" s="203" t="s">
        <v>5527</v>
      </c>
      <c r="C557" s="200">
        <f>COUNTIF(単語!G:L,単語辞書!A557)</f>
        <v>11</v>
      </c>
      <c r="D557" s="202"/>
      <c r="E557" s="200" t="s">
        <v>1571</v>
      </c>
      <c r="F557" s="79"/>
    </row>
    <row r="558" spans="1:6" ht="13.5">
      <c r="A558" s="203" t="s">
        <v>3085</v>
      </c>
      <c r="B558" s="203" t="s">
        <v>5526</v>
      </c>
      <c r="C558" s="200">
        <f>COUNTIF(単語!G:L,単語辞書!A558)</f>
        <v>1</v>
      </c>
      <c r="D558" s="202"/>
      <c r="E558" s="200" t="s">
        <v>1571</v>
      </c>
      <c r="F558" s="79"/>
    </row>
    <row r="559" spans="1:6" ht="13.5">
      <c r="A559" s="203" t="s">
        <v>3199</v>
      </c>
      <c r="B559" s="203" t="s">
        <v>5525</v>
      </c>
      <c r="C559" s="200">
        <f>COUNTIF(単語!G:L,単語辞書!A559)</f>
        <v>2</v>
      </c>
      <c r="D559" s="202"/>
      <c r="E559" s="200" t="s">
        <v>1571</v>
      </c>
      <c r="F559" s="79"/>
    </row>
    <row r="560" spans="1:6" ht="13.5">
      <c r="A560" s="203" t="s">
        <v>3432</v>
      </c>
      <c r="B560" s="203" t="s">
        <v>5524</v>
      </c>
      <c r="C560" s="200">
        <f>COUNTIF(単語!G:L,単語辞書!A560)</f>
        <v>4</v>
      </c>
      <c r="D560" s="202"/>
      <c r="E560" s="200" t="s">
        <v>1571</v>
      </c>
      <c r="F560" s="79"/>
    </row>
    <row r="561" spans="1:6" ht="13.5">
      <c r="A561" s="203" t="s">
        <v>3430</v>
      </c>
      <c r="B561" s="203" t="s">
        <v>5523</v>
      </c>
      <c r="C561" s="200">
        <f>COUNTIF(単語!G:L,単語辞書!A561)</f>
        <v>1</v>
      </c>
      <c r="D561" s="202"/>
      <c r="E561" s="200" t="s">
        <v>1571</v>
      </c>
      <c r="F561" s="79"/>
    </row>
    <row r="562" spans="1:6" ht="13.5">
      <c r="A562" s="203" t="s">
        <v>3429</v>
      </c>
      <c r="B562" s="203" t="s">
        <v>5522</v>
      </c>
      <c r="C562" s="200">
        <f>COUNTIF(単語!G:L,単語辞書!A562)</f>
        <v>1</v>
      </c>
      <c r="D562" s="202"/>
      <c r="E562" s="200" t="s">
        <v>1571</v>
      </c>
      <c r="F562" s="79"/>
    </row>
    <row r="563" spans="1:6" ht="13.5">
      <c r="A563" s="203" t="s">
        <v>2310</v>
      </c>
      <c r="B563" s="203" t="s">
        <v>5521</v>
      </c>
      <c r="C563" s="200">
        <f>COUNTIF(単語!G:L,単語辞書!A563)</f>
        <v>1</v>
      </c>
      <c r="D563" s="202"/>
      <c r="E563" s="200" t="s">
        <v>1571</v>
      </c>
      <c r="F563" s="79"/>
    </row>
    <row r="564" spans="1:6" ht="13.5">
      <c r="A564" s="203" t="s">
        <v>3428</v>
      </c>
      <c r="B564" s="203" t="s">
        <v>5520</v>
      </c>
      <c r="C564" s="200">
        <f>COUNTIF(単語!G:L,単語辞書!A564)</f>
        <v>1</v>
      </c>
      <c r="D564" s="202"/>
      <c r="E564" s="200" t="s">
        <v>1571</v>
      </c>
      <c r="F564" s="79"/>
    </row>
    <row r="565" spans="1:6" ht="13.5">
      <c r="A565" s="203" t="s">
        <v>3082</v>
      </c>
      <c r="B565" s="203" t="s">
        <v>5519</v>
      </c>
      <c r="C565" s="200">
        <f>COUNTIF(単語!G:L,単語辞書!A565)</f>
        <v>2</v>
      </c>
      <c r="D565" s="202"/>
      <c r="E565" s="200" t="s">
        <v>1571</v>
      </c>
      <c r="F565" s="79"/>
    </row>
    <row r="566" spans="1:6" ht="13.5">
      <c r="A566" s="203" t="s">
        <v>954</v>
      </c>
      <c r="B566" s="203" t="s">
        <v>5518</v>
      </c>
      <c r="C566" s="200">
        <f>COUNTIF(単語!G:L,単語辞書!A566)</f>
        <v>7</v>
      </c>
      <c r="D566" s="202"/>
      <c r="E566" s="200" t="s">
        <v>1571</v>
      </c>
      <c r="F566" s="79"/>
    </row>
    <row r="567" spans="1:6" ht="13.5">
      <c r="A567" s="203" t="s">
        <v>3717</v>
      </c>
      <c r="B567" s="203" t="s">
        <v>5517</v>
      </c>
      <c r="C567" s="200">
        <f>COUNTIF(単語!G:L,単語辞書!A567)</f>
        <v>1</v>
      </c>
      <c r="D567" s="202"/>
      <c r="E567" s="200" t="s">
        <v>1571</v>
      </c>
      <c r="F567" s="79"/>
    </row>
    <row r="568" spans="1:6" ht="13.5">
      <c r="A568" s="203" t="s">
        <v>5516</v>
      </c>
      <c r="B568" s="203" t="s">
        <v>5515</v>
      </c>
      <c r="C568" s="200">
        <f>COUNTIF(単語!G:L,単語辞書!A568)</f>
        <v>1</v>
      </c>
      <c r="D568" s="202"/>
      <c r="E568" s="200" t="s">
        <v>1571</v>
      </c>
      <c r="F568" s="79"/>
    </row>
    <row r="569" spans="1:6" ht="13.5">
      <c r="A569" s="203" t="s">
        <v>3225</v>
      </c>
      <c r="B569" s="203" t="s">
        <v>5514</v>
      </c>
      <c r="C569" s="200">
        <f>COUNTIF(単語!G:L,単語辞書!A569)</f>
        <v>2</v>
      </c>
      <c r="D569" s="202"/>
      <c r="E569" s="200" t="s">
        <v>1571</v>
      </c>
      <c r="F569" s="79"/>
    </row>
    <row r="570" spans="1:6" ht="13.5">
      <c r="A570" s="203" t="s">
        <v>3402</v>
      </c>
      <c r="B570" s="203" t="s">
        <v>5513</v>
      </c>
      <c r="C570" s="200">
        <f>COUNTIF(単語!G:L,単語辞書!A570)</f>
        <v>3</v>
      </c>
      <c r="D570" s="202"/>
      <c r="E570" s="200" t="s">
        <v>1571</v>
      </c>
      <c r="F570" s="79"/>
    </row>
    <row r="571" spans="1:6" ht="13.5">
      <c r="A571" s="203" t="s">
        <v>668</v>
      </c>
      <c r="B571" s="203" t="s">
        <v>5512</v>
      </c>
      <c r="C571" s="200">
        <f>COUNTIF(単語!G:L,単語辞書!A571)</f>
        <v>34</v>
      </c>
      <c r="D571" s="202"/>
      <c r="E571" s="200" t="s">
        <v>1571</v>
      </c>
      <c r="F571" s="79"/>
    </row>
    <row r="572" spans="1:6" ht="13.5">
      <c r="A572" s="203" t="s">
        <v>2358</v>
      </c>
      <c r="B572" s="203" t="s">
        <v>5511</v>
      </c>
      <c r="C572" s="200">
        <f>COUNTIF(単語!G:L,単語辞書!A572)</f>
        <v>6</v>
      </c>
      <c r="D572" s="202"/>
      <c r="E572" s="200" t="s">
        <v>1571</v>
      </c>
      <c r="F572" s="79"/>
    </row>
    <row r="573" spans="1:6" ht="13.5">
      <c r="A573" s="203" t="s">
        <v>4192</v>
      </c>
      <c r="B573" s="203" t="s">
        <v>5510</v>
      </c>
      <c r="C573" s="200">
        <f>COUNTIF(単語!G:L,単語辞書!A573)</f>
        <v>2</v>
      </c>
      <c r="D573" s="202"/>
      <c r="E573" s="200" t="s">
        <v>1571</v>
      </c>
      <c r="F573" s="79"/>
    </row>
    <row r="574" spans="1:6" ht="13.5">
      <c r="A574" s="203" t="s">
        <v>5509</v>
      </c>
      <c r="B574" s="203" t="s">
        <v>5508</v>
      </c>
      <c r="C574" s="200">
        <f>COUNTIF(単語!G:L,単語辞書!A574)</f>
        <v>6</v>
      </c>
      <c r="D574" s="202"/>
      <c r="E574" s="200" t="s">
        <v>1571</v>
      </c>
      <c r="F574" s="79"/>
    </row>
    <row r="575" spans="1:6" ht="13.5">
      <c r="A575" s="203" t="s">
        <v>3359</v>
      </c>
      <c r="B575" s="203" t="s">
        <v>5507</v>
      </c>
      <c r="C575" s="200">
        <f>COUNTIF(単語!G:L,単語辞書!A575)</f>
        <v>1</v>
      </c>
      <c r="D575" s="202"/>
      <c r="E575" s="200" t="s">
        <v>1571</v>
      </c>
      <c r="F575" s="79"/>
    </row>
    <row r="576" spans="1:6" ht="13.5">
      <c r="A576" s="203" t="s">
        <v>5506</v>
      </c>
      <c r="B576" s="203" t="s">
        <v>5505</v>
      </c>
      <c r="C576" s="200">
        <f>COUNTIF(単語!G:L,単語辞書!A576)</f>
        <v>1</v>
      </c>
      <c r="D576" s="202"/>
      <c r="E576" s="200" t="s">
        <v>1571</v>
      </c>
      <c r="F576" s="79"/>
    </row>
    <row r="577" spans="1:6" ht="13.5">
      <c r="A577" s="203" t="s">
        <v>5504</v>
      </c>
      <c r="B577" s="203" t="s">
        <v>5503</v>
      </c>
      <c r="C577" s="200">
        <f>COUNTIF(単語!G:L,単語辞書!A577)</f>
        <v>1</v>
      </c>
      <c r="D577" s="202"/>
      <c r="E577" s="200" t="s">
        <v>1571</v>
      </c>
      <c r="F577" s="79"/>
    </row>
    <row r="578" spans="1:6" ht="13.5">
      <c r="A578" s="203" t="s">
        <v>274</v>
      </c>
      <c r="B578" s="203" t="s">
        <v>5502</v>
      </c>
      <c r="C578" s="200">
        <f>COUNTIF(単語!G:L,単語辞書!A578)</f>
        <v>9</v>
      </c>
      <c r="D578" s="202"/>
      <c r="E578" s="200" t="s">
        <v>1571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1571</v>
      </c>
      <c r="F579" s="79"/>
    </row>
    <row r="580" spans="1:6" ht="13.5">
      <c r="A580" s="203" t="s">
        <v>3377</v>
      </c>
      <c r="B580" s="203" t="s">
        <v>5501</v>
      </c>
      <c r="C580" s="200">
        <f>COUNTIF(単語!G:L,単語辞書!A580)</f>
        <v>1</v>
      </c>
      <c r="D580" s="202"/>
      <c r="E580" s="200" t="s">
        <v>1571</v>
      </c>
      <c r="F580" s="79"/>
    </row>
    <row r="581" spans="1:6" ht="13.5">
      <c r="A581" s="203" t="s">
        <v>3374</v>
      </c>
      <c r="B581" s="203" t="s">
        <v>5500</v>
      </c>
      <c r="C581" s="200">
        <f>COUNTIF(単語!G:L,単語辞書!A581)</f>
        <v>1</v>
      </c>
      <c r="D581" s="202"/>
      <c r="E581" s="200" t="s">
        <v>1571</v>
      </c>
      <c r="F581" s="79"/>
    </row>
    <row r="582" spans="1:6" ht="13.5">
      <c r="A582" s="203" t="s">
        <v>3372</v>
      </c>
      <c r="B582" s="203" t="s">
        <v>5499</v>
      </c>
      <c r="C582" s="200">
        <f>COUNTIF(単語!G:L,単語辞書!A582)</f>
        <v>1</v>
      </c>
      <c r="D582" s="202"/>
      <c r="E582" s="200" t="s">
        <v>1571</v>
      </c>
      <c r="F582" s="79"/>
    </row>
    <row r="583" spans="1:6" ht="13.5">
      <c r="A583" s="203" t="s">
        <v>3366</v>
      </c>
      <c r="B583" s="203" t="s">
        <v>5498</v>
      </c>
      <c r="C583" s="200">
        <f>COUNTIF(単語!G:L,単語辞書!A583)</f>
        <v>4</v>
      </c>
      <c r="D583" s="202"/>
      <c r="E583" s="200" t="s">
        <v>1571</v>
      </c>
      <c r="F583" s="79"/>
    </row>
    <row r="584" spans="1:6" ht="13.5">
      <c r="A584" s="203" t="s">
        <v>3650</v>
      </c>
      <c r="B584" s="203" t="s">
        <v>5497</v>
      </c>
      <c r="C584" s="200">
        <f>COUNTIF(単語!G:L,単語辞書!A584)</f>
        <v>1</v>
      </c>
      <c r="D584" s="202"/>
      <c r="E584" s="200" t="s">
        <v>1571</v>
      </c>
      <c r="F584" s="79"/>
    </row>
    <row r="585" spans="1:6" ht="13.5">
      <c r="A585" s="203" t="s">
        <v>437</v>
      </c>
      <c r="B585" s="203" t="s">
        <v>5496</v>
      </c>
      <c r="C585" s="200">
        <f>COUNTIF(単語!G:L,単語辞書!A585)</f>
        <v>7</v>
      </c>
      <c r="D585" s="202"/>
      <c r="E585" s="200" t="s">
        <v>1571</v>
      </c>
      <c r="F585" s="79"/>
    </row>
    <row r="586" spans="1:6" ht="13.5">
      <c r="A586" s="203" t="s">
        <v>5495</v>
      </c>
      <c r="B586" s="203" t="s">
        <v>5494</v>
      </c>
      <c r="C586" s="200">
        <f>COUNTIF(単語!G:L,単語辞書!A586)</f>
        <v>1</v>
      </c>
      <c r="D586" s="202"/>
      <c r="E586" s="200" t="s">
        <v>1571</v>
      </c>
      <c r="F586" s="79"/>
    </row>
    <row r="587" spans="1:6" ht="13.5">
      <c r="A587" s="203" t="s">
        <v>2289</v>
      </c>
      <c r="B587" s="203" t="s">
        <v>5493</v>
      </c>
      <c r="C587" s="200">
        <f>COUNTIF(単語!G:L,単語辞書!A587)</f>
        <v>7</v>
      </c>
      <c r="D587" s="202"/>
      <c r="E587" s="200" t="s">
        <v>1571</v>
      </c>
      <c r="F587" s="79"/>
    </row>
    <row r="588" spans="1:6" ht="13.5">
      <c r="A588" s="203" t="s">
        <v>2482</v>
      </c>
      <c r="B588" s="203" t="s">
        <v>5492</v>
      </c>
      <c r="C588" s="200">
        <f>COUNTIF(単語!G:L,単語辞書!A588)</f>
        <v>4</v>
      </c>
      <c r="D588" s="202"/>
      <c r="E588" s="200" t="s">
        <v>1571</v>
      </c>
      <c r="F588" s="79"/>
    </row>
    <row r="589" spans="1:6" ht="13.5">
      <c r="A589" s="203" t="s">
        <v>5491</v>
      </c>
      <c r="B589" s="203" t="s">
        <v>5490</v>
      </c>
      <c r="C589" s="200">
        <f>COUNTIF(単語!G:L,単語辞書!A589)</f>
        <v>7</v>
      </c>
      <c r="D589" s="202"/>
      <c r="E589" s="200" t="s">
        <v>1571</v>
      </c>
      <c r="F589" s="79"/>
    </row>
    <row r="590" spans="1:6" ht="13.5">
      <c r="A590" s="203" t="s">
        <v>1315</v>
      </c>
      <c r="B590" s="203" t="s">
        <v>5473</v>
      </c>
      <c r="C590" s="200">
        <f>COUNTIF(単語!G:L,単語辞書!A590)</f>
        <v>3</v>
      </c>
      <c r="D590" s="202"/>
      <c r="E590" s="200" t="s">
        <v>1571</v>
      </c>
      <c r="F590" s="79"/>
    </row>
    <row r="591" spans="1:6" ht="13.5">
      <c r="A591" s="203" t="s">
        <v>5489</v>
      </c>
      <c r="B591" s="203" t="s">
        <v>5488</v>
      </c>
      <c r="C591" s="200">
        <f>COUNTIF(単語!G:L,単語辞書!A591)</f>
        <v>1</v>
      </c>
      <c r="D591" s="202"/>
      <c r="E591" s="200" t="s">
        <v>1571</v>
      </c>
      <c r="F591" s="79"/>
    </row>
    <row r="592" spans="1:6" ht="13.5">
      <c r="A592" s="203" t="s">
        <v>1267</v>
      </c>
      <c r="B592" s="210" t="s">
        <v>5487</v>
      </c>
      <c r="C592" s="200">
        <f>COUNTIF(単語!G:L,単語辞書!A592)</f>
        <v>3</v>
      </c>
      <c r="D592" s="202"/>
      <c r="E592" s="200" t="s">
        <v>1571</v>
      </c>
      <c r="F592" s="79"/>
    </row>
    <row r="593" spans="1:6" ht="13.5">
      <c r="A593" s="203" t="s">
        <v>4178</v>
      </c>
      <c r="B593" s="203" t="s">
        <v>5486</v>
      </c>
      <c r="C593" s="200">
        <f>COUNTIF(単語!G:L,単語辞書!A593)</f>
        <v>2</v>
      </c>
      <c r="D593" s="202"/>
      <c r="E593" s="200" t="s">
        <v>1571</v>
      </c>
      <c r="F593" s="79"/>
    </row>
    <row r="594" spans="1:6" ht="13.5">
      <c r="A594" s="203" t="s">
        <v>3352</v>
      </c>
      <c r="B594" s="203" t="s">
        <v>5485</v>
      </c>
      <c r="C594" s="200">
        <f>COUNTIF(単語!G:L,単語辞書!A594)</f>
        <v>3</v>
      </c>
      <c r="D594" s="202"/>
      <c r="E594" s="200" t="s">
        <v>1571</v>
      </c>
      <c r="F594" s="79"/>
    </row>
    <row r="595" spans="1:6" ht="13.5">
      <c r="A595" s="203" t="s">
        <v>3491</v>
      </c>
      <c r="B595" s="203" t="s">
        <v>5484</v>
      </c>
      <c r="C595" s="200">
        <f>COUNTIF(単語!G:L,単語辞書!A595)</f>
        <v>3</v>
      </c>
      <c r="D595" s="202"/>
      <c r="E595" s="200" t="s">
        <v>1571</v>
      </c>
      <c r="F595" s="79"/>
    </row>
    <row r="596" spans="1:6" ht="13.5">
      <c r="A596" s="203" t="s">
        <v>2352</v>
      </c>
      <c r="B596" s="203" t="s">
        <v>5483</v>
      </c>
      <c r="C596" s="200">
        <f>COUNTIF(単語!G:L,単語辞書!A596)</f>
        <v>3</v>
      </c>
      <c r="D596" s="202"/>
      <c r="E596" s="200" t="s">
        <v>1571</v>
      </c>
      <c r="F596" s="79"/>
    </row>
    <row r="597" spans="1:6" ht="13.5">
      <c r="A597" s="203" t="s">
        <v>2874</v>
      </c>
      <c r="B597" s="203" t="s">
        <v>5482</v>
      </c>
      <c r="C597" s="200">
        <f>COUNTIF(単語!G:L,単語辞書!A597)</f>
        <v>14</v>
      </c>
      <c r="D597" s="202"/>
      <c r="E597" s="200" t="s">
        <v>1571</v>
      </c>
      <c r="F597" s="79"/>
    </row>
    <row r="598" spans="1:6" ht="13.5">
      <c r="A598" s="203" t="s">
        <v>4184</v>
      </c>
      <c r="B598" s="203" t="s">
        <v>5482</v>
      </c>
      <c r="C598" s="200">
        <f>COUNTIF(単語!G:L,単語辞書!A598)</f>
        <v>1</v>
      </c>
      <c r="D598" s="202"/>
      <c r="E598" s="200" t="s">
        <v>1571</v>
      </c>
      <c r="F598" s="79"/>
    </row>
    <row r="599" spans="1:6" ht="13.5">
      <c r="A599" s="203" t="s">
        <v>733</v>
      </c>
      <c r="B599" s="203" t="s">
        <v>5481</v>
      </c>
      <c r="C599" s="200">
        <f>COUNTIF(単語!G:L,単語辞書!A599)</f>
        <v>31</v>
      </c>
      <c r="D599" s="202"/>
      <c r="E599" s="200" t="s">
        <v>1571</v>
      </c>
      <c r="F599" s="79"/>
    </row>
    <row r="600" spans="1:6" ht="13.5">
      <c r="A600" s="203" t="s">
        <v>5480</v>
      </c>
      <c r="B600" s="203" t="s">
        <v>5479</v>
      </c>
      <c r="C600" s="200">
        <f>COUNTIF(単語!G:L,単語辞書!A600)</f>
        <v>0</v>
      </c>
      <c r="D600" s="202"/>
      <c r="E600" s="200" t="s">
        <v>1571</v>
      </c>
      <c r="F600" s="79"/>
    </row>
    <row r="601" spans="1:6" ht="13.5">
      <c r="A601" s="203" t="s">
        <v>2957</v>
      </c>
      <c r="B601" s="203" t="s">
        <v>5478</v>
      </c>
      <c r="C601" s="200">
        <f>COUNTIF(単語!G:L,単語辞書!A601)</f>
        <v>5</v>
      </c>
      <c r="D601" s="202"/>
      <c r="E601" s="200" t="s">
        <v>1571</v>
      </c>
      <c r="F601" s="79"/>
    </row>
    <row r="602" spans="1:6" ht="13.5">
      <c r="A602" s="203" t="s">
        <v>3333</v>
      </c>
      <c r="B602" s="203" t="s">
        <v>5477</v>
      </c>
      <c r="C602" s="200">
        <f>COUNTIF(単語!G:L,単語辞書!A602)</f>
        <v>1</v>
      </c>
      <c r="D602" s="202"/>
      <c r="E602" s="200" t="s">
        <v>1571</v>
      </c>
      <c r="F602" s="79"/>
    </row>
    <row r="603" spans="1:6" ht="13.5">
      <c r="A603" s="203" t="s">
        <v>3332</v>
      </c>
      <c r="B603" s="203" t="s">
        <v>5476</v>
      </c>
      <c r="C603" s="200">
        <f>COUNTIF(単語!G:L,単語辞書!A603)</f>
        <v>1</v>
      </c>
      <c r="D603" s="202"/>
      <c r="E603" s="200" t="s">
        <v>1571</v>
      </c>
      <c r="F603" s="79"/>
    </row>
    <row r="604" spans="1:6" ht="13.5">
      <c r="A604" s="203" t="s">
        <v>3327</v>
      </c>
      <c r="B604" s="203" t="s">
        <v>5475</v>
      </c>
      <c r="C604" s="200">
        <f>COUNTIF(単語!G:L,単語辞書!A604)</f>
        <v>2</v>
      </c>
      <c r="D604" s="202"/>
      <c r="E604" s="200" t="s">
        <v>1571</v>
      </c>
      <c r="F604" s="79"/>
    </row>
    <row r="605" spans="1:6" ht="13.5">
      <c r="A605" s="203" t="s">
        <v>5474</v>
      </c>
      <c r="B605" s="203" t="s">
        <v>5473</v>
      </c>
      <c r="C605" s="200">
        <f>COUNTIF(単語!G:L,単語辞書!A605)</f>
        <v>4</v>
      </c>
      <c r="D605" s="202"/>
      <c r="E605" s="200" t="s">
        <v>1571</v>
      </c>
      <c r="F605" s="79"/>
    </row>
    <row r="606" spans="1:6" ht="13.5">
      <c r="A606" s="203" t="s">
        <v>253</v>
      </c>
      <c r="B606" s="203" t="s">
        <v>5473</v>
      </c>
      <c r="C606" s="200">
        <f>COUNTIF(単語!G:L,単語辞書!A606)</f>
        <v>6</v>
      </c>
      <c r="D606" s="202"/>
      <c r="E606" s="200" t="s">
        <v>1571</v>
      </c>
      <c r="F606" s="79"/>
    </row>
    <row r="607" spans="1:6" ht="13.5">
      <c r="A607" s="203" t="s">
        <v>1884</v>
      </c>
      <c r="B607" s="203" t="s">
        <v>5472</v>
      </c>
      <c r="C607" s="200">
        <f>COUNTIF(単語!G:L,単語辞書!A607)</f>
        <v>1</v>
      </c>
      <c r="D607" s="202"/>
      <c r="E607" s="200" t="s">
        <v>1571</v>
      </c>
      <c r="F607" s="79"/>
    </row>
    <row r="608" spans="1:6" ht="13.5">
      <c r="A608" s="203" t="s">
        <v>1850</v>
      </c>
      <c r="B608" s="203" t="s">
        <v>5029</v>
      </c>
      <c r="C608" s="200">
        <f>COUNTIF(単語!G:L,単語辞書!A608)</f>
        <v>15</v>
      </c>
      <c r="D608" s="202"/>
      <c r="E608" s="200" t="s">
        <v>1571</v>
      </c>
      <c r="F608" s="79"/>
    </row>
    <row r="609" spans="1:6" ht="13.5">
      <c r="A609" s="203" t="s">
        <v>3297</v>
      </c>
      <c r="B609" s="203" t="s">
        <v>5471</v>
      </c>
      <c r="C609" s="200">
        <f>COUNTIF(単語!G:L,単語辞書!A609)</f>
        <v>9</v>
      </c>
      <c r="D609" s="202"/>
      <c r="E609" s="200" t="s">
        <v>1571</v>
      </c>
      <c r="F609" s="79"/>
    </row>
    <row r="610" spans="1:6" ht="13.5">
      <c r="A610" s="203" t="s">
        <v>1856</v>
      </c>
      <c r="B610" s="203" t="s">
        <v>5470</v>
      </c>
      <c r="C610" s="200">
        <f>COUNTIF(単語!G:L,単語辞書!A610)</f>
        <v>5</v>
      </c>
      <c r="D610" s="202"/>
      <c r="E610" s="200" t="s">
        <v>1571</v>
      </c>
      <c r="F610" s="79"/>
    </row>
    <row r="611" spans="1:6" ht="13.5">
      <c r="A611" s="203" t="s">
        <v>3293</v>
      </c>
      <c r="B611" s="203" t="s">
        <v>5469</v>
      </c>
      <c r="C611" s="200">
        <f>COUNTIF(単語!G:L,単語辞書!A611)</f>
        <v>1</v>
      </c>
      <c r="D611" s="202"/>
      <c r="E611" s="200" t="s">
        <v>1571</v>
      </c>
      <c r="F611" s="79"/>
    </row>
    <row r="612" spans="1:6" ht="13.5">
      <c r="A612" s="203" t="s">
        <v>1827</v>
      </c>
      <c r="B612" s="203" t="s">
        <v>5468</v>
      </c>
      <c r="C612" s="200">
        <f>COUNTIF(単語!G:L,単語辞書!A612)</f>
        <v>21</v>
      </c>
      <c r="D612" s="202"/>
      <c r="E612" s="200" t="s">
        <v>1571</v>
      </c>
      <c r="F612" s="79"/>
    </row>
    <row r="613" spans="1:6" ht="13.5">
      <c r="A613" s="203" t="s">
        <v>5467</v>
      </c>
      <c r="B613" s="203" t="s">
        <v>5466</v>
      </c>
      <c r="C613" s="200">
        <f>COUNTIF(単語!G:L,単語辞書!A613)</f>
        <v>0</v>
      </c>
      <c r="D613" s="202"/>
      <c r="E613" s="200" t="s">
        <v>1571</v>
      </c>
      <c r="F613" s="79"/>
    </row>
    <row r="614" spans="1:6" ht="13.5">
      <c r="A614" s="203" t="s">
        <v>3016</v>
      </c>
      <c r="B614" s="203" t="s">
        <v>5465</v>
      </c>
      <c r="C614" s="200">
        <f>COUNTIF(単語!G:L,単語辞書!A614)</f>
        <v>8</v>
      </c>
      <c r="D614" s="202"/>
      <c r="E614" s="200" t="s">
        <v>1571</v>
      </c>
      <c r="F614" s="79"/>
    </row>
    <row r="615" spans="1:6" ht="13.5">
      <c r="A615" s="203" t="s">
        <v>5464</v>
      </c>
      <c r="B615" s="203" t="s">
        <v>5463</v>
      </c>
      <c r="C615" s="200">
        <f>COUNTIF(単語!G:L,単語辞書!A615)</f>
        <v>1</v>
      </c>
      <c r="D615" s="202"/>
      <c r="E615" s="200" t="s">
        <v>1571</v>
      </c>
      <c r="F615" s="79"/>
    </row>
    <row r="616" spans="1:6" ht="13.5">
      <c r="A616" s="203" t="s">
        <v>2718</v>
      </c>
      <c r="B616" s="203" t="s">
        <v>5462</v>
      </c>
      <c r="C616" s="200">
        <f>COUNTIF(単語!G:L,単語辞書!A616)</f>
        <v>1</v>
      </c>
      <c r="D616" s="202"/>
      <c r="E616" s="200" t="s">
        <v>1571</v>
      </c>
      <c r="F616" s="79"/>
    </row>
    <row r="617" spans="1:6" ht="13.5">
      <c r="A617" s="203" t="s">
        <v>2313</v>
      </c>
      <c r="B617" s="203" t="s">
        <v>5461</v>
      </c>
      <c r="C617" s="200">
        <f>COUNTIF(単語!G:L,単語辞書!A617)</f>
        <v>4</v>
      </c>
      <c r="D617" s="202"/>
      <c r="E617" s="200" t="s">
        <v>1571</v>
      </c>
      <c r="F617" s="79"/>
    </row>
    <row r="618" spans="1:6" ht="13.5">
      <c r="A618" s="203" t="s">
        <v>215</v>
      </c>
      <c r="B618" s="203" t="s">
        <v>5460</v>
      </c>
      <c r="C618" s="200">
        <f>COUNTIF(単語!G:L,単語辞書!A618)</f>
        <v>68</v>
      </c>
      <c r="D618" s="202"/>
      <c r="E618" s="200" t="s">
        <v>1571</v>
      </c>
      <c r="F618" s="79"/>
    </row>
    <row r="619" spans="1:6" ht="13.5">
      <c r="A619" s="203" t="s">
        <v>740</v>
      </c>
      <c r="B619" s="203" t="s">
        <v>5459</v>
      </c>
      <c r="C619" s="200">
        <f>COUNTIF(単語!G:L,単語辞書!A619)</f>
        <v>9</v>
      </c>
      <c r="D619" s="202"/>
      <c r="E619" s="200" t="s">
        <v>1571</v>
      </c>
      <c r="F619" s="79"/>
    </row>
    <row r="620" spans="1:6" ht="13.5">
      <c r="A620" s="203" t="s">
        <v>3290</v>
      </c>
      <c r="B620" s="203" t="s">
        <v>5458</v>
      </c>
      <c r="C620" s="200">
        <f>COUNTIF(単語!G:L,単語辞書!A620)</f>
        <v>6</v>
      </c>
      <c r="D620" s="202"/>
      <c r="E620" s="200" t="s">
        <v>1571</v>
      </c>
      <c r="F620" s="79"/>
    </row>
    <row r="621" spans="1:6" ht="13.5">
      <c r="A621" s="203" t="s">
        <v>1828</v>
      </c>
      <c r="B621" s="203" t="s">
        <v>5457</v>
      </c>
      <c r="C621" s="200">
        <f>COUNTIF(単語!G:L,単語辞書!A621)</f>
        <v>10</v>
      </c>
      <c r="D621" s="202"/>
      <c r="E621" s="200" t="s">
        <v>1571</v>
      </c>
      <c r="F621" s="79"/>
    </row>
    <row r="622" spans="1:6" ht="13.5">
      <c r="A622" s="203" t="s">
        <v>3284</v>
      </c>
      <c r="B622" s="203" t="s">
        <v>5456</v>
      </c>
      <c r="C622" s="200">
        <f>COUNTIF(単語!G:L,単語辞書!A622)</f>
        <v>2</v>
      </c>
      <c r="D622" s="202"/>
      <c r="E622" s="200" t="s">
        <v>1571</v>
      </c>
      <c r="F622" s="79"/>
    </row>
    <row r="623" spans="1:6" ht="13.5">
      <c r="A623" s="203" t="s">
        <v>881</v>
      </c>
      <c r="B623" s="203" t="s">
        <v>5455</v>
      </c>
      <c r="C623" s="200">
        <f>COUNTIF(単語!G:L,単語辞書!A623)</f>
        <v>26</v>
      </c>
      <c r="D623" s="202"/>
      <c r="E623" s="200" t="s">
        <v>1571</v>
      </c>
      <c r="F623" s="79"/>
    </row>
    <row r="624" spans="1:6" ht="13.5">
      <c r="A624" s="203" t="s">
        <v>3281</v>
      </c>
      <c r="B624" s="203" t="s">
        <v>5454</v>
      </c>
      <c r="C624" s="200">
        <f>COUNTIF(単語!G:L,単語辞書!A624)</f>
        <v>3</v>
      </c>
      <c r="D624" s="202"/>
      <c r="E624" s="200" t="s">
        <v>1571</v>
      </c>
      <c r="F624" s="79"/>
    </row>
    <row r="625" spans="1:6" ht="13.5">
      <c r="A625" s="203" t="s">
        <v>3679</v>
      </c>
      <c r="B625" s="203" t="s">
        <v>5453</v>
      </c>
      <c r="C625" s="200">
        <f>COUNTIF(単語!G:L,単語辞書!A625)</f>
        <v>2</v>
      </c>
      <c r="D625" s="202"/>
      <c r="E625" s="200" t="s">
        <v>1571</v>
      </c>
      <c r="F625" s="79"/>
    </row>
    <row r="626" spans="1:6" ht="13.5">
      <c r="A626" s="203" t="s">
        <v>3396</v>
      </c>
      <c r="B626" s="203" t="s">
        <v>5452</v>
      </c>
      <c r="C626" s="200">
        <f>COUNTIF(単語!G:L,単語辞書!A626)</f>
        <v>1</v>
      </c>
      <c r="D626" s="202"/>
      <c r="E626" s="200" t="s">
        <v>1571</v>
      </c>
      <c r="F626" s="79"/>
    </row>
    <row r="627" spans="1:6" ht="13.5">
      <c r="A627" s="203" t="s">
        <v>839</v>
      </c>
      <c r="B627" s="203" t="s">
        <v>5451</v>
      </c>
      <c r="C627" s="200">
        <f>COUNTIF(単語!G:L,単語辞書!A627)</f>
        <v>5</v>
      </c>
      <c r="D627" s="202" t="s">
        <v>5450</v>
      </c>
      <c r="E627" s="200" t="s">
        <v>1571</v>
      </c>
      <c r="F627" s="79"/>
    </row>
    <row r="628" spans="1:6" ht="13.5">
      <c r="A628" s="203" t="s">
        <v>3280</v>
      </c>
      <c r="B628" s="203" t="s">
        <v>5449</v>
      </c>
      <c r="C628" s="200">
        <f>COUNTIF(単語!G:L,単語辞書!A628)</f>
        <v>1</v>
      </c>
      <c r="D628" s="202"/>
      <c r="E628" s="200" t="s">
        <v>1571</v>
      </c>
      <c r="F628" s="79"/>
    </row>
    <row r="629" spans="1:6" ht="13.5">
      <c r="A629" s="203" t="s">
        <v>199</v>
      </c>
      <c r="B629" s="203" t="s">
        <v>5448</v>
      </c>
      <c r="C629" s="200">
        <f>COUNTIF(単語!G:L,単語辞書!A629)</f>
        <v>53</v>
      </c>
      <c r="D629" s="202"/>
      <c r="E629" s="200" t="s">
        <v>1571</v>
      </c>
      <c r="F629" s="79"/>
    </row>
    <row r="630" spans="1:6" ht="13.5">
      <c r="A630" s="203" t="s">
        <v>3250</v>
      </c>
      <c r="B630" s="203" t="s">
        <v>5447</v>
      </c>
      <c r="C630" s="200">
        <f>COUNTIF(単語!G:L,単語辞書!A630)</f>
        <v>16</v>
      </c>
      <c r="D630" s="202"/>
      <c r="E630" s="200" t="s">
        <v>1571</v>
      </c>
      <c r="F630" s="79"/>
    </row>
    <row r="631" spans="1:6" ht="13.5">
      <c r="A631" s="203" t="s">
        <v>5446</v>
      </c>
      <c r="B631" s="203" t="s">
        <v>5445</v>
      </c>
      <c r="C631" s="200">
        <f>COUNTIF(単語!G:L,単語辞書!A631)</f>
        <v>2</v>
      </c>
      <c r="D631" s="202"/>
      <c r="E631" s="200" t="s">
        <v>1571</v>
      </c>
      <c r="F631" s="79"/>
    </row>
    <row r="632" spans="1:6" ht="13.5">
      <c r="A632" s="203" t="s">
        <v>5444</v>
      </c>
      <c r="B632" s="210" t="s">
        <v>5443</v>
      </c>
      <c r="C632" s="200">
        <f>COUNTIF(単語!G:L,単語辞書!A632)</f>
        <v>7</v>
      </c>
      <c r="D632" s="202"/>
      <c r="E632" s="200" t="s">
        <v>1571</v>
      </c>
      <c r="F632" s="79"/>
    </row>
    <row r="633" spans="1:6" ht="13.5">
      <c r="A633" s="203" t="s">
        <v>5442</v>
      </c>
      <c r="B633" s="203" t="s">
        <v>5441</v>
      </c>
      <c r="C633" s="200">
        <f>COUNTIF(単語!G:L,単語辞書!A633)</f>
        <v>0</v>
      </c>
      <c r="D633" s="202"/>
      <c r="E633" s="200" t="s">
        <v>1571</v>
      </c>
      <c r="F633" s="79"/>
    </row>
    <row r="634" spans="1:6" ht="13.5">
      <c r="A634" s="203" t="s">
        <v>3209</v>
      </c>
      <c r="B634" s="203" t="s">
        <v>5440</v>
      </c>
      <c r="C634" s="200">
        <f>COUNTIF(単語!G:L,単語辞書!A634)</f>
        <v>0</v>
      </c>
      <c r="D634" s="202"/>
      <c r="E634" s="200" t="s">
        <v>1571</v>
      </c>
      <c r="F634" s="79"/>
    </row>
    <row r="635" spans="1:6" ht="13.5">
      <c r="A635" s="203" t="s">
        <v>3314</v>
      </c>
      <c r="B635" s="210" t="s">
        <v>5439</v>
      </c>
      <c r="C635" s="200">
        <f>COUNTIF(単語!G:L,単語辞書!A635)</f>
        <v>2</v>
      </c>
      <c r="D635" s="202"/>
      <c r="E635" s="200" t="s">
        <v>1571</v>
      </c>
      <c r="F635" s="79"/>
    </row>
    <row r="636" spans="1:6" ht="13.5">
      <c r="A636" s="203" t="s">
        <v>4533</v>
      </c>
      <c r="B636" s="203" t="s">
        <v>5438</v>
      </c>
      <c r="C636" s="200">
        <f>COUNTIF(単語!G:L,単語辞書!A636)</f>
        <v>4</v>
      </c>
      <c r="D636" s="202"/>
      <c r="E636" s="200" t="s">
        <v>1571</v>
      </c>
      <c r="F636" s="79"/>
    </row>
    <row r="637" spans="1:6" ht="13.5">
      <c r="A637" s="203" t="s">
        <v>2543</v>
      </c>
      <c r="B637" s="203" t="s">
        <v>5437</v>
      </c>
      <c r="C637" s="200">
        <f>COUNTIF(単語!G:L,単語辞書!A637)</f>
        <v>2</v>
      </c>
      <c r="D637" s="202"/>
      <c r="E637" s="200" t="s">
        <v>1571</v>
      </c>
      <c r="F637" s="79"/>
    </row>
    <row r="638" spans="1:6" ht="13.5">
      <c r="A638" s="203" t="s">
        <v>3207</v>
      </c>
      <c r="B638" s="203" t="s">
        <v>5436</v>
      </c>
      <c r="C638" s="200">
        <f>COUNTIF(単語!G:L,単語辞書!A638)</f>
        <v>3</v>
      </c>
      <c r="D638" s="202"/>
      <c r="E638" s="200" t="s">
        <v>1571</v>
      </c>
      <c r="F638" s="79"/>
    </row>
    <row r="639" spans="1:6" ht="13.5">
      <c r="A639" s="203" t="s">
        <v>1944</v>
      </c>
      <c r="B639" s="210" t="s">
        <v>5435</v>
      </c>
      <c r="C639" s="200">
        <f>COUNTIF(単語!G:L,単語辞書!A639)</f>
        <v>5</v>
      </c>
      <c r="D639" s="202"/>
      <c r="E639" s="200" t="s">
        <v>1571</v>
      </c>
      <c r="F639" s="79"/>
    </row>
    <row r="640" spans="1:6" ht="13.5">
      <c r="A640" s="203" t="s">
        <v>3206</v>
      </c>
      <c r="B640" s="203" t="s">
        <v>5434</v>
      </c>
      <c r="C640" s="200">
        <f>COUNTIF(単語!G:L,単語辞書!A640)</f>
        <v>1</v>
      </c>
      <c r="D640" s="202"/>
      <c r="E640" s="200" t="s">
        <v>1571</v>
      </c>
      <c r="F640" s="79"/>
    </row>
    <row r="641" spans="1:6" ht="13.5">
      <c r="A641" s="203" t="s">
        <v>3204</v>
      </c>
      <c r="B641" s="203" t="s">
        <v>5433</v>
      </c>
      <c r="C641" s="200">
        <f>COUNTIF(単語!G:L,単語辞書!A641)</f>
        <v>1</v>
      </c>
      <c r="D641" s="202"/>
      <c r="E641" s="200" t="s">
        <v>1571</v>
      </c>
      <c r="F641" s="79"/>
    </row>
    <row r="642" spans="1:6" ht="13.5">
      <c r="A642" s="203" t="s">
        <v>3185</v>
      </c>
      <c r="B642" s="203" t="s">
        <v>5432</v>
      </c>
      <c r="C642" s="200">
        <f>COUNTIF(単語!G:L,単語辞書!A642)</f>
        <v>15</v>
      </c>
      <c r="D642" s="202"/>
      <c r="E642" s="200" t="s">
        <v>1571</v>
      </c>
      <c r="F642" s="79"/>
    </row>
    <row r="643" spans="1:6" ht="13.5">
      <c r="A643" s="203" t="s">
        <v>3182</v>
      </c>
      <c r="B643" s="203" t="s">
        <v>5431</v>
      </c>
      <c r="C643" s="200">
        <f>COUNTIF(単語!G:L,単語辞書!A643)</f>
        <v>2</v>
      </c>
      <c r="D643" s="202"/>
      <c r="E643" s="200" t="s">
        <v>1571</v>
      </c>
      <c r="F643" s="79"/>
    </row>
    <row r="644" spans="1:6" ht="13.5">
      <c r="A644" s="203" t="s">
        <v>129</v>
      </c>
      <c r="B644" s="203" t="s">
        <v>5430</v>
      </c>
      <c r="C644" s="200">
        <f>COUNTIF(単語!G:L,単語辞書!A644)</f>
        <v>13</v>
      </c>
      <c r="D644" s="202"/>
      <c r="E644" s="200" t="s">
        <v>1571</v>
      </c>
      <c r="F644" s="79"/>
    </row>
    <row r="645" spans="1:6" ht="13.5">
      <c r="A645" s="203" t="s">
        <v>4173</v>
      </c>
      <c r="B645" s="203" t="s">
        <v>5429</v>
      </c>
      <c r="C645" s="200">
        <f>COUNTIF(単語!G:L,単語辞書!A645)</f>
        <v>2</v>
      </c>
      <c r="D645" s="202"/>
      <c r="E645" s="200" t="s">
        <v>1571</v>
      </c>
      <c r="F645" s="79"/>
    </row>
    <row r="646" spans="1:6" ht="13.5">
      <c r="A646" s="203" t="s">
        <v>3178</v>
      </c>
      <c r="B646" s="203" t="s">
        <v>5428</v>
      </c>
      <c r="C646" s="200">
        <f>COUNTIF(単語!G:L,単語辞書!A646)</f>
        <v>4</v>
      </c>
      <c r="D646" s="202"/>
      <c r="E646" s="200" t="s">
        <v>1571</v>
      </c>
      <c r="F646" s="79"/>
    </row>
    <row r="647" spans="1:6" ht="13.5">
      <c r="A647" s="203" t="s">
        <v>3569</v>
      </c>
      <c r="B647" s="203" t="s">
        <v>5427</v>
      </c>
      <c r="C647" s="200">
        <f>COUNTIF(単語!G:L,単語辞書!A647)</f>
        <v>1</v>
      </c>
      <c r="D647" s="202"/>
      <c r="E647" s="200" t="s">
        <v>1571</v>
      </c>
      <c r="F647" s="79"/>
    </row>
    <row r="648" spans="1:6" ht="13.5">
      <c r="A648" s="203" t="s">
        <v>2301</v>
      </c>
      <c r="B648" s="203" t="s">
        <v>5426</v>
      </c>
      <c r="C648" s="200">
        <f>COUNTIF(単語!G:L,単語辞書!A648)</f>
        <v>1</v>
      </c>
      <c r="D648" s="202"/>
      <c r="E648" s="200" t="s">
        <v>1571</v>
      </c>
      <c r="F648" s="79"/>
    </row>
    <row r="649" spans="1:6" ht="13.5">
      <c r="A649" s="203" t="s">
        <v>3175</v>
      </c>
      <c r="B649" s="203" t="s">
        <v>5425</v>
      </c>
      <c r="C649" s="200">
        <f>COUNTIF(単語!G:L,単語辞書!A649)</f>
        <v>6</v>
      </c>
      <c r="D649" s="202"/>
      <c r="E649" s="200" t="s">
        <v>1571</v>
      </c>
      <c r="F649" s="79"/>
    </row>
    <row r="650" spans="1:6" ht="13.5">
      <c r="A650" s="203" t="s">
        <v>4170</v>
      </c>
      <c r="B650" s="203" t="s">
        <v>5424</v>
      </c>
      <c r="C650" s="200">
        <f>COUNTIF(単語!G:L,単語辞書!A650)</f>
        <v>2</v>
      </c>
      <c r="D650" s="202"/>
      <c r="E650" s="200" t="s">
        <v>1571</v>
      </c>
      <c r="F650" s="79"/>
    </row>
    <row r="651" spans="1:6" ht="13.5">
      <c r="A651" s="203" t="s">
        <v>130</v>
      </c>
      <c r="B651" s="203" t="s">
        <v>5423</v>
      </c>
      <c r="C651" s="200">
        <f>COUNTIF(単語!G:L,単語辞書!A651)</f>
        <v>16</v>
      </c>
      <c r="D651" s="202"/>
      <c r="E651" s="200" t="s">
        <v>1571</v>
      </c>
      <c r="F651" s="79"/>
    </row>
    <row r="652" spans="1:6" ht="13.5">
      <c r="A652" s="203" t="s">
        <v>3171</v>
      </c>
      <c r="B652" s="203" t="s">
        <v>5422</v>
      </c>
      <c r="C652" s="200">
        <f>COUNTIF(単語!G:L,単語辞書!A652)</f>
        <v>3</v>
      </c>
      <c r="D652" s="202"/>
      <c r="E652" s="200" t="s">
        <v>1571</v>
      </c>
      <c r="F652" s="79"/>
    </row>
    <row r="653" spans="1:6" ht="13.5">
      <c r="A653" s="203" t="s">
        <v>3164</v>
      </c>
      <c r="B653" s="203" t="s">
        <v>5421</v>
      </c>
      <c r="C653" s="200">
        <f>COUNTIF(単語!G:L,単語辞書!A653)</f>
        <v>5</v>
      </c>
      <c r="D653" s="202"/>
      <c r="E653" s="200" t="s">
        <v>1571</v>
      </c>
      <c r="F653" s="79"/>
    </row>
    <row r="654" spans="1:6" ht="13.5">
      <c r="A654" s="203" t="s">
        <v>5420</v>
      </c>
      <c r="B654" s="203" t="s">
        <v>5419</v>
      </c>
      <c r="C654" s="200">
        <f>COUNTIF(単語!G:L,単語辞書!A654)</f>
        <v>1</v>
      </c>
      <c r="D654" s="202"/>
      <c r="E654" s="200" t="s">
        <v>1571</v>
      </c>
      <c r="F654" s="79"/>
    </row>
    <row r="655" spans="1:6" ht="13.5">
      <c r="A655" s="203" t="s">
        <v>3162</v>
      </c>
      <c r="B655" s="203" t="s">
        <v>5418</v>
      </c>
      <c r="C655" s="200">
        <f>COUNTIF(単語!G:L,単語辞書!A655)</f>
        <v>2</v>
      </c>
      <c r="D655" s="202"/>
      <c r="E655" s="200" t="s">
        <v>1571</v>
      </c>
      <c r="F655" s="79"/>
    </row>
    <row r="656" spans="1:6" ht="13.5">
      <c r="A656" s="203" t="s">
        <v>3598</v>
      </c>
      <c r="B656" s="203" t="s">
        <v>5417</v>
      </c>
      <c r="C656" s="200">
        <f>COUNTIF(単語!G:L,単語辞書!A656)</f>
        <v>2</v>
      </c>
      <c r="D656" s="202"/>
      <c r="E656" s="200" t="s">
        <v>1571</v>
      </c>
      <c r="F656" s="79"/>
    </row>
    <row r="657" spans="1:6" ht="13.5">
      <c r="A657" s="203" t="s">
        <v>3588</v>
      </c>
      <c r="B657" s="203" t="s">
        <v>5416</v>
      </c>
      <c r="C657" s="200">
        <f>COUNTIF(単語!G:L,単語辞書!A657)</f>
        <v>7</v>
      </c>
      <c r="D657" s="202"/>
      <c r="E657" s="200" t="s">
        <v>1571</v>
      </c>
      <c r="F657" s="79"/>
    </row>
    <row r="658" spans="1:6" ht="13.5">
      <c r="A658" s="203" t="s">
        <v>874</v>
      </c>
      <c r="B658" s="203" t="s">
        <v>5415</v>
      </c>
      <c r="C658" s="200">
        <f>COUNTIF(単語!G:L,単語辞書!A658)</f>
        <v>16</v>
      </c>
      <c r="D658" s="202"/>
      <c r="E658" s="200" t="s">
        <v>1571</v>
      </c>
      <c r="F658" s="79"/>
    </row>
    <row r="659" spans="1:6" ht="13.5">
      <c r="A659" s="203" t="s">
        <v>3160</v>
      </c>
      <c r="B659" s="203" t="s">
        <v>5414</v>
      </c>
      <c r="C659" s="200">
        <f>COUNTIF(単語!G:L,単語辞書!A659)</f>
        <v>1</v>
      </c>
      <c r="D659" s="202"/>
      <c r="E659" s="200" t="s">
        <v>1571</v>
      </c>
      <c r="F659" s="79"/>
    </row>
    <row r="660" spans="1:6" ht="13.5">
      <c r="A660" s="203" t="s">
        <v>3157</v>
      </c>
      <c r="B660" s="203" t="s">
        <v>5413</v>
      </c>
      <c r="C660" s="200">
        <f>COUNTIF(単語!G:L,単語辞書!A660)</f>
        <v>1</v>
      </c>
      <c r="D660" s="202"/>
      <c r="E660" s="200" t="s">
        <v>1571</v>
      </c>
      <c r="F660" s="79"/>
    </row>
    <row r="661" spans="1:6" ht="13.5">
      <c r="A661" s="203" t="s">
        <v>4470</v>
      </c>
      <c r="B661" s="203" t="s">
        <v>5412</v>
      </c>
      <c r="C661" s="200">
        <f>COUNTIF(単語!G:L,単語辞書!A661)</f>
        <v>2</v>
      </c>
      <c r="D661" s="202"/>
      <c r="E661" s="200" t="s">
        <v>1571</v>
      </c>
      <c r="F661" s="79"/>
    </row>
    <row r="662" spans="1:6" ht="13.5">
      <c r="A662" s="203" t="s">
        <v>2735</v>
      </c>
      <c r="B662" s="203" t="s">
        <v>5411</v>
      </c>
      <c r="C662" s="200">
        <f>COUNTIF(単語!G:L,単語辞書!A662)</f>
        <v>7</v>
      </c>
      <c r="D662" s="202"/>
      <c r="E662" s="200" t="s">
        <v>1571</v>
      </c>
      <c r="F662" s="79"/>
    </row>
    <row r="663" spans="1:6" ht="13.5">
      <c r="A663" s="203" t="s">
        <v>5410</v>
      </c>
      <c r="B663" s="203" t="s">
        <v>5409</v>
      </c>
      <c r="C663" s="200">
        <f>COUNTIF(単語!G:L,単語辞書!A663)</f>
        <v>0</v>
      </c>
      <c r="D663" s="202"/>
      <c r="E663" s="200" t="s">
        <v>1571</v>
      </c>
      <c r="F663" s="79"/>
    </row>
    <row r="664" spans="1:6" ht="13.5">
      <c r="A664" s="203" t="s">
        <v>3148</v>
      </c>
      <c r="B664" s="203" t="s">
        <v>5408</v>
      </c>
      <c r="C664" s="200">
        <f>COUNTIF(単語!G:L,単語辞書!A664)</f>
        <v>1</v>
      </c>
      <c r="D664" s="202"/>
      <c r="E664" s="200" t="s">
        <v>1571</v>
      </c>
      <c r="F664" s="79"/>
    </row>
    <row r="665" spans="1:6" ht="13.5">
      <c r="A665" s="203" t="s">
        <v>5407</v>
      </c>
      <c r="B665" s="203" t="s">
        <v>5406</v>
      </c>
      <c r="C665" s="200">
        <f>COUNTIF(単語!G:L,単語辞書!A665)</f>
        <v>2</v>
      </c>
      <c r="D665" s="202"/>
      <c r="E665" s="200" t="s">
        <v>1571</v>
      </c>
      <c r="F665" s="79"/>
    </row>
    <row r="666" spans="1:6" ht="13.5">
      <c r="A666" s="203" t="s">
        <v>3138</v>
      </c>
      <c r="B666" s="203" t="s">
        <v>5405</v>
      </c>
      <c r="C666" s="200">
        <f>COUNTIF(単語!G:L,単語辞書!A666)</f>
        <v>4</v>
      </c>
      <c r="D666" s="202"/>
      <c r="E666" s="200" t="s">
        <v>1571</v>
      </c>
      <c r="F666" s="79"/>
    </row>
    <row r="667" spans="1:6" ht="13.5">
      <c r="A667" s="203" t="s">
        <v>832</v>
      </c>
      <c r="B667" s="203" t="s">
        <v>5404</v>
      </c>
      <c r="C667" s="200">
        <f>COUNTIF(単語!G:L,単語辞書!A667)</f>
        <v>31</v>
      </c>
      <c r="D667" s="202"/>
      <c r="E667" s="200" t="s">
        <v>1571</v>
      </c>
      <c r="F667" s="79"/>
    </row>
    <row r="668" spans="1:6" ht="13.5">
      <c r="A668" s="203" t="s">
        <v>2551</v>
      </c>
      <c r="B668" s="210" t="s">
        <v>5403</v>
      </c>
      <c r="C668" s="200">
        <f>COUNTIF(単語!G:L,単語辞書!A668)</f>
        <v>30</v>
      </c>
      <c r="D668" s="202" t="s">
        <v>5402</v>
      </c>
      <c r="E668" s="200" t="s">
        <v>1571</v>
      </c>
      <c r="F668" s="79"/>
    </row>
    <row r="669" spans="1:6" ht="13.5">
      <c r="A669" s="203" t="s">
        <v>2693</v>
      </c>
      <c r="B669" s="203" t="s">
        <v>5401</v>
      </c>
      <c r="C669" s="200">
        <f>COUNTIF(単語!G:L,単語辞書!A669)</f>
        <v>6</v>
      </c>
      <c r="D669" s="202"/>
      <c r="E669" s="200" t="s">
        <v>1571</v>
      </c>
      <c r="F669" s="79"/>
    </row>
    <row r="670" spans="1:6" ht="13.5">
      <c r="A670" s="203" t="s">
        <v>2283</v>
      </c>
      <c r="B670" s="203" t="s">
        <v>5400</v>
      </c>
      <c r="C670" s="200">
        <f>COUNTIF(単語!G:L,単語辞書!A670)</f>
        <v>1</v>
      </c>
      <c r="D670" s="202"/>
      <c r="E670" s="200" t="s">
        <v>1571</v>
      </c>
      <c r="F670" s="79"/>
    </row>
    <row r="671" spans="1:6" ht="13.5">
      <c r="A671" s="203" t="s">
        <v>3506</v>
      </c>
      <c r="B671" s="203" t="s">
        <v>5399</v>
      </c>
      <c r="C671" s="200">
        <f>COUNTIF(単語!G:L,単語辞書!A671)</f>
        <v>1</v>
      </c>
      <c r="D671" s="202"/>
      <c r="E671" s="200" t="s">
        <v>1571</v>
      </c>
      <c r="F671" s="79"/>
    </row>
    <row r="672" spans="1:6" ht="13.5">
      <c r="A672" s="203" t="s">
        <v>4159</v>
      </c>
      <c r="B672" s="203" t="s">
        <v>5398</v>
      </c>
      <c r="C672" s="200">
        <f>COUNTIF(単語!G:L,単語辞書!A672)</f>
        <v>1</v>
      </c>
      <c r="D672" s="202"/>
      <c r="E672" s="200" t="s">
        <v>1571</v>
      </c>
      <c r="F672" s="79"/>
    </row>
    <row r="673" spans="1:6" ht="13.5">
      <c r="A673" s="203" t="s">
        <v>6</v>
      </c>
      <c r="B673" s="203" t="s">
        <v>5397</v>
      </c>
      <c r="C673" s="200">
        <f>COUNTIF(単語!G:L,単語辞書!A673)</f>
        <v>12</v>
      </c>
      <c r="D673" s="202"/>
      <c r="E673" s="200" t="s">
        <v>1571</v>
      </c>
      <c r="F673" s="79"/>
    </row>
    <row r="674" spans="1:6" ht="13.5">
      <c r="A674" s="203" t="s">
        <v>2614</v>
      </c>
      <c r="B674" s="203" t="s">
        <v>5396</v>
      </c>
      <c r="C674" s="200">
        <f>COUNTIF(単語!G:L,単語辞書!A674)</f>
        <v>2</v>
      </c>
      <c r="D674" s="202"/>
      <c r="E674" s="200" t="s">
        <v>1571</v>
      </c>
      <c r="F674" s="79"/>
    </row>
    <row r="675" spans="1:6" ht="13.5">
      <c r="A675" s="203" t="s">
        <v>3120</v>
      </c>
      <c r="B675" s="203" t="s">
        <v>5395</v>
      </c>
      <c r="C675" s="200">
        <f>COUNTIF(単語!G:L,単語辞書!A675)</f>
        <v>2</v>
      </c>
      <c r="D675" s="202"/>
      <c r="E675" s="200" t="s">
        <v>1571</v>
      </c>
      <c r="F675" s="79"/>
    </row>
    <row r="676" spans="1:6" ht="13.5">
      <c r="A676" s="203" t="s">
        <v>857</v>
      </c>
      <c r="B676" s="203" t="s">
        <v>5394</v>
      </c>
      <c r="C676" s="200">
        <f>COUNTIF(単語!G:L,単語辞書!A676)</f>
        <v>20</v>
      </c>
      <c r="D676" s="202"/>
      <c r="E676" s="200" t="s">
        <v>1571</v>
      </c>
      <c r="F676" s="79"/>
    </row>
    <row r="677" spans="1:6" ht="13.5">
      <c r="A677" s="203" t="s">
        <v>5393</v>
      </c>
      <c r="B677" s="203" t="s">
        <v>5392</v>
      </c>
      <c r="C677" s="200">
        <f>COUNTIF(単語!G:L,単語辞書!A677)</f>
        <v>6</v>
      </c>
      <c r="D677" s="202" t="s">
        <v>5391</v>
      </c>
      <c r="E677" s="200" t="s">
        <v>1571</v>
      </c>
      <c r="F677" s="79"/>
    </row>
    <row r="678" spans="1:6" ht="13.5">
      <c r="A678" s="203" t="s">
        <v>1231</v>
      </c>
      <c r="B678" s="203" t="s">
        <v>5390</v>
      </c>
      <c r="C678" s="200">
        <f>COUNTIF(単語!G:L,単語辞書!A678)</f>
        <v>3</v>
      </c>
      <c r="D678" s="202"/>
      <c r="E678" s="200" t="s">
        <v>1571</v>
      </c>
      <c r="F678" s="79"/>
    </row>
    <row r="679" spans="1:6" ht="13.5">
      <c r="A679" s="203" t="s">
        <v>4152</v>
      </c>
      <c r="B679" s="203" t="s">
        <v>5389</v>
      </c>
      <c r="C679" s="200">
        <f>COUNTIF(単語!G:L,単語辞書!A679)</f>
        <v>1</v>
      </c>
      <c r="D679" s="202"/>
      <c r="E679" s="200" t="s">
        <v>1571</v>
      </c>
      <c r="F679" s="79"/>
    </row>
    <row r="680" spans="1:6" ht="13.5">
      <c r="A680" s="203" t="s">
        <v>434</v>
      </c>
      <c r="B680" s="203" t="s">
        <v>5388</v>
      </c>
      <c r="C680" s="200">
        <f>COUNTIF(単語!G:L,単語辞書!A680)</f>
        <v>3</v>
      </c>
      <c r="D680" s="202"/>
      <c r="E680" s="200" t="s">
        <v>1571</v>
      </c>
      <c r="F680" s="79"/>
    </row>
    <row r="681" spans="1:6" ht="13.5">
      <c r="A681" s="203" t="s">
        <v>4345</v>
      </c>
      <c r="B681" s="203" t="s">
        <v>5387</v>
      </c>
      <c r="C681" s="200">
        <f>COUNTIF(単語!G:L,単語辞書!A681)</f>
        <v>3</v>
      </c>
      <c r="D681" s="202"/>
      <c r="E681" s="200" t="s">
        <v>1571</v>
      </c>
      <c r="F681" s="79"/>
    </row>
    <row r="682" spans="1:6" ht="13.5">
      <c r="A682" s="203" t="s">
        <v>3061</v>
      </c>
      <c r="B682" s="203" t="s">
        <v>5386</v>
      </c>
      <c r="C682" s="200">
        <f>COUNTIF(単語!G:L,単語辞書!A682)</f>
        <v>6</v>
      </c>
      <c r="D682" s="202"/>
      <c r="E682" s="200" t="s">
        <v>1571</v>
      </c>
      <c r="F682" s="79"/>
    </row>
    <row r="683" spans="1:6" ht="13.5">
      <c r="A683" s="203" t="s">
        <v>3067</v>
      </c>
      <c r="B683" s="203" t="s">
        <v>5385</v>
      </c>
      <c r="C683" s="200">
        <f>COUNTIF(単語!G:L,単語辞書!A683)</f>
        <v>2</v>
      </c>
      <c r="D683" s="202"/>
      <c r="E683" s="200" t="s">
        <v>1571</v>
      </c>
      <c r="F683" s="79"/>
    </row>
    <row r="684" spans="1:6" ht="13.5">
      <c r="A684" s="203" t="s">
        <v>3058</v>
      </c>
      <c r="B684" s="203" t="s">
        <v>5384</v>
      </c>
      <c r="C684" s="200">
        <f>COUNTIF(単語!G:L,単語辞書!A684)</f>
        <v>2</v>
      </c>
      <c r="D684" s="202"/>
      <c r="E684" s="200" t="s">
        <v>1571</v>
      </c>
      <c r="F684" s="79"/>
    </row>
    <row r="685" spans="1:6" ht="13.5">
      <c r="A685" s="203" t="s">
        <v>3055</v>
      </c>
      <c r="B685" s="203" t="s">
        <v>5383</v>
      </c>
      <c r="C685" s="200">
        <f>COUNTIF(単語!G:L,単語辞書!A685)</f>
        <v>2</v>
      </c>
      <c r="D685" s="202"/>
      <c r="E685" s="200" t="s">
        <v>1571</v>
      </c>
      <c r="F685" s="79"/>
    </row>
    <row r="686" spans="1:6" ht="13.5">
      <c r="A686" s="203" t="s">
        <v>3870</v>
      </c>
      <c r="B686" s="203" t="s">
        <v>5382</v>
      </c>
      <c r="C686" s="200">
        <f>COUNTIF(単語!G:L,単語辞書!A686)</f>
        <v>1</v>
      </c>
      <c r="D686" s="202"/>
      <c r="E686" s="200" t="s">
        <v>1571</v>
      </c>
      <c r="F686" s="79"/>
    </row>
    <row r="687" spans="1:6" ht="13.5">
      <c r="A687" s="203" t="s">
        <v>3050</v>
      </c>
      <c r="B687" s="203" t="s">
        <v>5381</v>
      </c>
      <c r="C687" s="200">
        <f>COUNTIF(単語!G:L,単語辞書!A687)</f>
        <v>2</v>
      </c>
      <c r="D687" s="202"/>
      <c r="E687" s="200" t="s">
        <v>1571</v>
      </c>
      <c r="F687" s="79"/>
    </row>
    <row r="688" spans="1:6" ht="13.5">
      <c r="A688" s="203" t="s">
        <v>893</v>
      </c>
      <c r="B688" s="203" t="s">
        <v>5380</v>
      </c>
      <c r="C688" s="200">
        <f>COUNTIF(単語!G:L,単語辞書!A688)</f>
        <v>23</v>
      </c>
      <c r="D688" s="202"/>
      <c r="E688" s="200" t="s">
        <v>1571</v>
      </c>
      <c r="F688" s="79"/>
    </row>
    <row r="689" spans="1:6" ht="13.5">
      <c r="A689" s="203" t="s">
        <v>3048</v>
      </c>
      <c r="B689" s="203" t="s">
        <v>5379</v>
      </c>
      <c r="C689" s="200">
        <f>COUNTIF(単語!G:L,単語辞書!A689)</f>
        <v>1</v>
      </c>
      <c r="D689" s="202"/>
      <c r="E689" s="200" t="s">
        <v>1571</v>
      </c>
      <c r="F689" s="79"/>
    </row>
    <row r="690" spans="1:6" ht="13.5">
      <c r="A690" s="203" t="s">
        <v>3030</v>
      </c>
      <c r="B690" s="203" t="s">
        <v>5378</v>
      </c>
      <c r="C690" s="200">
        <f>COUNTIF(単語!G:L,単語辞書!A690)</f>
        <v>4</v>
      </c>
      <c r="D690" s="202"/>
      <c r="E690" s="200" t="s">
        <v>1571</v>
      </c>
      <c r="F690" s="79"/>
    </row>
    <row r="691" spans="1:6" ht="13.5">
      <c r="A691" s="203" t="s">
        <v>2286</v>
      </c>
      <c r="B691" s="203" t="s">
        <v>5377</v>
      </c>
      <c r="C691" s="200">
        <f>COUNTIF(単語!G:L,単語辞書!A691)</f>
        <v>3</v>
      </c>
      <c r="D691" s="202"/>
      <c r="E691" s="200" t="s">
        <v>1571</v>
      </c>
      <c r="F691" s="79"/>
    </row>
    <row r="692" spans="1:6" ht="13.5">
      <c r="A692" s="203" t="s">
        <v>445</v>
      </c>
      <c r="B692" s="203" t="s">
        <v>5376</v>
      </c>
      <c r="C692" s="200">
        <f>COUNTIF(単語!G:L,単語辞書!A692)</f>
        <v>2</v>
      </c>
      <c r="D692" s="202"/>
      <c r="E692" s="200" t="s">
        <v>1571</v>
      </c>
      <c r="F692" s="79"/>
    </row>
    <row r="693" spans="1:6" ht="13.5">
      <c r="A693" s="203" t="s">
        <v>3027</v>
      </c>
      <c r="B693" s="203" t="s">
        <v>5375</v>
      </c>
      <c r="C693" s="200">
        <f>COUNTIF(単語!G:L,単語辞書!A693)</f>
        <v>2</v>
      </c>
      <c r="D693" s="202"/>
      <c r="E693" s="200" t="s">
        <v>1571</v>
      </c>
      <c r="F693" s="79"/>
    </row>
    <row r="694" spans="1:6" ht="13.5">
      <c r="A694" s="203" t="s">
        <v>2516</v>
      </c>
      <c r="B694" s="203" t="s">
        <v>4870</v>
      </c>
      <c r="C694" s="200">
        <f>COUNTIF(単語!G:L,単語辞書!A694)</f>
        <v>7</v>
      </c>
      <c r="D694" s="202"/>
      <c r="E694" s="200" t="s">
        <v>1571</v>
      </c>
      <c r="F694" s="79"/>
    </row>
    <row r="695" spans="1:6" ht="13.5">
      <c r="A695" s="203" t="s">
        <v>2459</v>
      </c>
      <c r="B695" s="203" t="s">
        <v>5374</v>
      </c>
      <c r="C695" s="200">
        <f>COUNTIF(単語!G:L,単語辞書!A695)</f>
        <v>7</v>
      </c>
      <c r="D695" s="202"/>
      <c r="E695" s="200" t="s">
        <v>1571</v>
      </c>
      <c r="F695" s="79"/>
    </row>
    <row r="696" spans="1:6" ht="13.5">
      <c r="A696" s="203" t="s">
        <v>5373</v>
      </c>
      <c r="B696" s="203" t="s">
        <v>5372</v>
      </c>
      <c r="C696" s="200">
        <f>COUNTIF(単語!G:L,単語辞書!A696)</f>
        <v>0</v>
      </c>
      <c r="D696" s="202"/>
      <c r="E696" s="200" t="s">
        <v>1571</v>
      </c>
      <c r="F696" s="79"/>
    </row>
    <row r="697" spans="1:6" ht="13.5">
      <c r="A697" s="203" t="s">
        <v>2292</v>
      </c>
      <c r="B697" s="203" t="s">
        <v>5371</v>
      </c>
      <c r="C697" s="200">
        <f>COUNTIF(単語!G:L,単語辞書!A697)</f>
        <v>7</v>
      </c>
      <c r="D697" s="202"/>
      <c r="E697" s="200" t="s">
        <v>1571</v>
      </c>
      <c r="F697" s="79"/>
    </row>
    <row r="698" spans="1:6" ht="13.5">
      <c r="A698" s="203" t="s">
        <v>5370</v>
      </c>
      <c r="B698" s="203" t="s">
        <v>5369</v>
      </c>
      <c r="C698" s="200">
        <f>COUNTIF(単語!G:L,単語辞書!A698)</f>
        <v>1</v>
      </c>
      <c r="D698" s="202"/>
      <c r="E698" s="200" t="s">
        <v>1571</v>
      </c>
      <c r="F698" s="79"/>
    </row>
    <row r="699" spans="1:6" ht="13.5">
      <c r="A699" s="203" t="s">
        <v>3012</v>
      </c>
      <c r="B699" s="203" t="s">
        <v>5368</v>
      </c>
      <c r="C699" s="200">
        <f>COUNTIF(単語!G:L,単語辞書!A699)</f>
        <v>2</v>
      </c>
      <c r="D699" s="202"/>
      <c r="E699" s="200" t="s">
        <v>1571</v>
      </c>
      <c r="F699" s="79"/>
    </row>
    <row r="700" spans="1:6" ht="13.5">
      <c r="A700" s="203" t="s">
        <v>3355</v>
      </c>
      <c r="B700" s="203" t="s">
        <v>5367</v>
      </c>
      <c r="C700" s="200">
        <f>COUNTIF(単語!G:L,単語辞書!A700)</f>
        <v>2</v>
      </c>
      <c r="D700" s="202"/>
      <c r="E700" s="200" t="s">
        <v>1571</v>
      </c>
      <c r="F700" s="79"/>
    </row>
    <row r="701" spans="1:6" ht="13.5">
      <c r="A701" s="203" t="s">
        <v>431</v>
      </c>
      <c r="B701" s="203" t="s">
        <v>5366</v>
      </c>
      <c r="C701" s="200">
        <f>COUNTIF(単語!G:L,単語辞書!A701)</f>
        <v>13</v>
      </c>
      <c r="D701" s="202"/>
      <c r="E701" s="200" t="s">
        <v>1571</v>
      </c>
      <c r="F701" s="79"/>
    </row>
    <row r="702" spans="1:6" ht="13.5">
      <c r="A702" s="203" t="s">
        <v>2284</v>
      </c>
      <c r="B702" s="203" t="s">
        <v>5365</v>
      </c>
      <c r="C702" s="200">
        <f>COUNTIF(単語!G:L,単語辞書!A702)</f>
        <v>8</v>
      </c>
      <c r="D702" s="202"/>
      <c r="E702" s="200" t="s">
        <v>1571</v>
      </c>
      <c r="F702" s="79"/>
    </row>
    <row r="703" spans="1:6" ht="13.5">
      <c r="A703" s="203" t="s">
        <v>3007</v>
      </c>
      <c r="B703" s="203" t="s">
        <v>5364</v>
      </c>
      <c r="C703" s="200">
        <f>COUNTIF(単語!G:L,単語辞書!A703)</f>
        <v>13</v>
      </c>
      <c r="D703" s="202"/>
      <c r="E703" s="200" t="s">
        <v>1571</v>
      </c>
      <c r="F703" s="79"/>
    </row>
    <row r="704" spans="1:6" ht="13.5">
      <c r="A704" s="203" t="s">
        <v>5363</v>
      </c>
      <c r="B704" s="203" t="s">
        <v>5362</v>
      </c>
      <c r="C704" s="200">
        <f>COUNTIF(単語!G:L,単語辞書!A704)</f>
        <v>1</v>
      </c>
      <c r="D704" s="202"/>
      <c r="E704" s="200" t="s">
        <v>1571</v>
      </c>
      <c r="F704" s="79"/>
    </row>
    <row r="705" spans="1:6" ht="13.5">
      <c r="A705" s="203" t="s">
        <v>2955</v>
      </c>
      <c r="B705" s="203" t="s">
        <v>5361</v>
      </c>
      <c r="C705" s="200">
        <f>COUNTIF(単語!G:L,単語辞書!A705)</f>
        <v>5</v>
      </c>
      <c r="D705" s="202"/>
      <c r="E705" s="200" t="s">
        <v>1571</v>
      </c>
      <c r="F705" s="79"/>
    </row>
    <row r="706" spans="1:6" ht="13.5">
      <c r="A706" s="203" t="s">
        <v>2982</v>
      </c>
      <c r="B706" s="203" t="s">
        <v>5360</v>
      </c>
      <c r="C706" s="200">
        <f>COUNTIF(単語!G:L,単語辞書!A706)</f>
        <v>9</v>
      </c>
      <c r="D706" s="202"/>
      <c r="E706" s="200" t="s">
        <v>1571</v>
      </c>
      <c r="F706" s="79"/>
    </row>
    <row r="707" spans="1:6" ht="13.5">
      <c r="A707" s="203" t="s">
        <v>2980</v>
      </c>
      <c r="B707" s="203" t="s">
        <v>5359</v>
      </c>
      <c r="C707" s="200">
        <f>COUNTIF(単語!G:L,単語辞書!A707)</f>
        <v>1</v>
      </c>
      <c r="D707" s="202"/>
      <c r="E707" s="200" t="s">
        <v>1571</v>
      </c>
      <c r="F707" s="79"/>
    </row>
    <row r="708" spans="1:6" ht="13.5">
      <c r="A708" s="203" t="s">
        <v>2970</v>
      </c>
      <c r="B708" s="203" t="s">
        <v>5358</v>
      </c>
      <c r="C708" s="200">
        <f>COUNTIF(単語!G:L,単語辞書!A708)</f>
        <v>9</v>
      </c>
      <c r="D708" s="202"/>
      <c r="E708" s="200" t="s">
        <v>1571</v>
      </c>
      <c r="F708" s="79"/>
    </row>
    <row r="709" spans="1:6" ht="13.5">
      <c r="A709" s="203" t="s">
        <v>2968</v>
      </c>
      <c r="B709" s="203" t="s">
        <v>5357</v>
      </c>
      <c r="C709" s="200">
        <f>COUNTIF(単語!G:L,単語辞書!A709)</f>
        <v>1</v>
      </c>
      <c r="D709" s="202"/>
      <c r="E709" s="200" t="s">
        <v>1571</v>
      </c>
      <c r="F709" s="79"/>
    </row>
    <row r="710" spans="1:6" ht="13.5">
      <c r="A710" s="203" t="s">
        <v>2951</v>
      </c>
      <c r="B710" s="203" t="s">
        <v>5356</v>
      </c>
      <c r="C710" s="200">
        <f>COUNTIF(単語!G:L,単語辞書!A710)</f>
        <v>9</v>
      </c>
      <c r="D710" s="202"/>
      <c r="E710" s="200" t="s">
        <v>1571</v>
      </c>
      <c r="F710" s="79"/>
    </row>
    <row r="711" spans="1:6" ht="13.5">
      <c r="A711" s="203" t="s">
        <v>751</v>
      </c>
      <c r="B711" s="203" t="s">
        <v>5355</v>
      </c>
      <c r="C711" s="200">
        <f>COUNTIF(単語!G:L,単語辞書!A711)</f>
        <v>19</v>
      </c>
      <c r="D711" s="202"/>
      <c r="E711" s="200" t="s">
        <v>1571</v>
      </c>
      <c r="F711" s="79"/>
    </row>
    <row r="712" spans="1:6" ht="13.5">
      <c r="A712" s="203" t="s">
        <v>2949</v>
      </c>
      <c r="B712" s="203" t="s">
        <v>5354</v>
      </c>
      <c r="C712" s="200">
        <f>COUNTIF(単語!G:L,単語辞書!A712)</f>
        <v>1</v>
      </c>
      <c r="D712" s="202"/>
      <c r="E712" s="200" t="s">
        <v>1571</v>
      </c>
      <c r="F712" s="79"/>
    </row>
    <row r="713" spans="1:6" ht="13.5">
      <c r="A713" s="203" t="s">
        <v>3070</v>
      </c>
      <c r="B713" s="203" t="s">
        <v>5353</v>
      </c>
      <c r="C713" s="200">
        <f>COUNTIF(単語!G:L,単語辞書!A713)</f>
        <v>2</v>
      </c>
      <c r="D713" s="202"/>
      <c r="E713" s="200" t="s">
        <v>1571</v>
      </c>
      <c r="F713" s="79"/>
    </row>
    <row r="714" spans="1:6" ht="13.5">
      <c r="A714" s="203" t="s">
        <v>3137</v>
      </c>
      <c r="B714" s="203" t="s">
        <v>5352</v>
      </c>
      <c r="C714" s="200">
        <f>COUNTIF(単語!G:L,単語辞書!A714)</f>
        <v>1</v>
      </c>
      <c r="D714" s="202"/>
      <c r="E714" s="200" t="s">
        <v>1571</v>
      </c>
      <c r="F714" s="79"/>
    </row>
    <row r="715" spans="1:6" ht="13.5">
      <c r="A715" s="203" t="s">
        <v>5351</v>
      </c>
      <c r="B715" s="203" t="s">
        <v>5350</v>
      </c>
      <c r="C715" s="200">
        <f>COUNTIF(単語!G:L,単語辞書!A715)</f>
        <v>1</v>
      </c>
      <c r="D715" s="202" t="s">
        <v>5349</v>
      </c>
      <c r="E715" s="200" t="s">
        <v>1571</v>
      </c>
      <c r="F715" s="79"/>
    </row>
    <row r="716" spans="1:6" ht="13.5">
      <c r="A716" s="203" t="s">
        <v>2349</v>
      </c>
      <c r="B716" s="203" t="s">
        <v>5348</v>
      </c>
      <c r="C716" s="200">
        <f>COUNTIF(単語!G:L,単語辞書!A716)</f>
        <v>2</v>
      </c>
      <c r="D716" s="202"/>
      <c r="E716" s="200" t="s">
        <v>1571</v>
      </c>
      <c r="F716" s="79"/>
    </row>
    <row r="717" spans="1:6" ht="13.5">
      <c r="A717" s="203" t="s">
        <v>2869</v>
      </c>
      <c r="B717" s="203" t="s">
        <v>4953</v>
      </c>
      <c r="C717" s="200">
        <f>COUNTIF(単語!G:L,単語辞書!A717)</f>
        <v>13</v>
      </c>
      <c r="D717" s="202"/>
      <c r="E717" s="200" t="s">
        <v>1571</v>
      </c>
      <c r="F717" s="79"/>
    </row>
    <row r="718" spans="1:6" ht="13.5">
      <c r="A718" s="203" t="s">
        <v>2930</v>
      </c>
      <c r="B718" s="203" t="s">
        <v>5347</v>
      </c>
      <c r="C718" s="200">
        <f>COUNTIF(単語!G:L,単語辞書!A718)</f>
        <v>1</v>
      </c>
      <c r="D718" s="202"/>
      <c r="E718" s="200" t="s">
        <v>1571</v>
      </c>
      <c r="F718" s="79"/>
    </row>
    <row r="719" spans="1:6" ht="13.5">
      <c r="A719" s="203" t="s">
        <v>1257</v>
      </c>
      <c r="B719" s="203" t="s">
        <v>4953</v>
      </c>
      <c r="C719" s="200">
        <f>COUNTIF(単語!G:L,単語辞書!A719)</f>
        <v>1</v>
      </c>
      <c r="D719" s="202"/>
      <c r="E719" s="200" t="s">
        <v>1571</v>
      </c>
      <c r="F719" s="79"/>
    </row>
    <row r="720" spans="1:6" ht="13.5">
      <c r="A720" s="203" t="s">
        <v>3619</v>
      </c>
      <c r="B720" s="203" t="s">
        <v>5346</v>
      </c>
      <c r="C720" s="200">
        <f>COUNTIF(単語!G:L,単語辞書!A720)</f>
        <v>17</v>
      </c>
      <c r="D720" s="202"/>
      <c r="E720" s="200" t="s">
        <v>1571</v>
      </c>
      <c r="F720" s="79"/>
    </row>
    <row r="721" spans="1:6" ht="13.5">
      <c r="A721" s="203" t="s">
        <v>3394</v>
      </c>
      <c r="B721" s="203" t="s">
        <v>5345</v>
      </c>
      <c r="C721" s="200">
        <f>COUNTIF(単語!G:L,単語辞書!A721)</f>
        <v>1</v>
      </c>
      <c r="D721" s="202"/>
      <c r="E721" s="200" t="s">
        <v>1571</v>
      </c>
      <c r="F721" s="79"/>
    </row>
    <row r="722" spans="1:6" ht="13.5">
      <c r="A722" s="203" t="s">
        <v>2926</v>
      </c>
      <c r="B722" s="203" t="s">
        <v>5344</v>
      </c>
      <c r="C722" s="200">
        <f>COUNTIF(単語!G:L,単語辞書!A722)</f>
        <v>5</v>
      </c>
      <c r="D722" s="202"/>
      <c r="E722" s="200" t="s">
        <v>1571</v>
      </c>
      <c r="F722" s="79"/>
    </row>
    <row r="723" spans="1:6" ht="13.5">
      <c r="A723" s="203" t="s">
        <v>2922</v>
      </c>
      <c r="B723" s="203" t="s">
        <v>5343</v>
      </c>
      <c r="C723" s="200">
        <f>COUNTIF(単語!G:L,単語辞書!A723)</f>
        <v>2</v>
      </c>
      <c r="D723" s="202"/>
      <c r="E723" s="200" t="s">
        <v>1571</v>
      </c>
      <c r="F723" s="79"/>
    </row>
    <row r="724" spans="1:6" ht="13.5">
      <c r="A724" s="203" t="s">
        <v>2919</v>
      </c>
      <c r="B724" s="203" t="s">
        <v>5342</v>
      </c>
      <c r="C724" s="200">
        <f>COUNTIF(単語!G:L,単語辞書!A724)</f>
        <v>1</v>
      </c>
      <c r="D724" s="202"/>
      <c r="E724" s="200" t="s">
        <v>1571</v>
      </c>
      <c r="F724" s="79"/>
    </row>
    <row r="725" spans="1:6" ht="13.5">
      <c r="A725" s="203" t="s">
        <v>2214</v>
      </c>
      <c r="B725" s="203" t="s">
        <v>5341</v>
      </c>
      <c r="C725" s="200">
        <f>COUNTIF(単語!G:L,単語辞書!A725)</f>
        <v>2</v>
      </c>
      <c r="D725" s="202"/>
      <c r="E725" s="200" t="s">
        <v>1571</v>
      </c>
      <c r="F725" s="79"/>
    </row>
    <row r="726" spans="1:6" ht="13.5">
      <c r="A726" s="203" t="s">
        <v>2918</v>
      </c>
      <c r="B726" s="203" t="s">
        <v>5340</v>
      </c>
      <c r="C726" s="200">
        <f>COUNTIF(単語!G:L,単語辞書!A726)</f>
        <v>3</v>
      </c>
      <c r="D726" s="202"/>
      <c r="E726" s="200" t="s">
        <v>1571</v>
      </c>
      <c r="F726" s="79"/>
    </row>
    <row r="727" spans="1:6" ht="13.5">
      <c r="A727" s="203" t="s">
        <v>2917</v>
      </c>
      <c r="B727" s="203" t="s">
        <v>5339</v>
      </c>
      <c r="C727" s="200">
        <f>COUNTIF(単語!G:L,単語辞書!A727)</f>
        <v>1</v>
      </c>
      <c r="D727" s="202"/>
      <c r="E727" s="200" t="s">
        <v>1571</v>
      </c>
      <c r="F727" s="79"/>
    </row>
    <row r="728" spans="1:6" ht="13.5">
      <c r="A728" s="203" t="s">
        <v>5338</v>
      </c>
      <c r="B728" s="203" t="s">
        <v>5337</v>
      </c>
      <c r="C728" s="200">
        <f>COUNTIF(単語!G:L,単語辞書!A728)</f>
        <v>3</v>
      </c>
      <c r="D728" s="202"/>
      <c r="E728" s="200" t="s">
        <v>1571</v>
      </c>
      <c r="F728" s="79"/>
    </row>
    <row r="729" spans="1:6" ht="13.5">
      <c r="A729" s="203" t="s">
        <v>4097</v>
      </c>
      <c r="B729" s="203" t="s">
        <v>5336</v>
      </c>
      <c r="C729" s="200">
        <f>COUNTIF(単語!G:L,単語辞書!A729)</f>
        <v>1</v>
      </c>
      <c r="D729" s="202"/>
      <c r="E729" s="200" t="s">
        <v>1571</v>
      </c>
      <c r="F729" s="79"/>
    </row>
    <row r="730" spans="1:6" ht="13.5">
      <c r="A730" s="203" t="s">
        <v>3793</v>
      </c>
      <c r="B730" s="203" t="s">
        <v>5335</v>
      </c>
      <c r="C730" s="200">
        <f>COUNTIF(単語!G:L,単語辞書!A730)</f>
        <v>1</v>
      </c>
      <c r="D730" s="202"/>
      <c r="E730" s="200" t="s">
        <v>1571</v>
      </c>
      <c r="F730" s="79"/>
    </row>
    <row r="731" spans="1:6" ht="13.5">
      <c r="A731" s="203" t="s">
        <v>2913</v>
      </c>
      <c r="B731" s="203" t="s">
        <v>5334</v>
      </c>
      <c r="C731" s="200">
        <f>COUNTIF(単語!G:L,単語辞書!A731)</f>
        <v>1</v>
      </c>
      <c r="D731" s="202"/>
      <c r="E731" s="200" t="s">
        <v>1571</v>
      </c>
      <c r="F731" s="79"/>
    </row>
    <row r="732" spans="1:6" ht="13.5">
      <c r="A732" s="203" t="s">
        <v>916</v>
      </c>
      <c r="B732" s="210" t="s">
        <v>5333</v>
      </c>
      <c r="C732" s="200">
        <f>COUNTIF(単語!G:L,単語辞書!A732)</f>
        <v>9</v>
      </c>
      <c r="D732" s="202"/>
      <c r="E732" s="200" t="s">
        <v>1571</v>
      </c>
      <c r="F732" s="79"/>
    </row>
    <row r="733" spans="1:6" ht="13.5">
      <c r="A733" s="203" t="s">
        <v>3035</v>
      </c>
      <c r="B733" s="203" t="s">
        <v>5332</v>
      </c>
      <c r="C733" s="200">
        <f>COUNTIF(単語!G:L,単語辞書!A733)</f>
        <v>1</v>
      </c>
      <c r="D733" s="202"/>
      <c r="E733" s="200" t="s">
        <v>1571</v>
      </c>
      <c r="F733" s="79"/>
    </row>
    <row r="734" spans="1:6" ht="13.5">
      <c r="A734" s="203" t="s">
        <v>4114</v>
      </c>
      <c r="B734" s="203" t="s">
        <v>5331</v>
      </c>
      <c r="C734" s="200">
        <f>COUNTIF(単語!G:L,単語辞書!A734)</f>
        <v>1</v>
      </c>
      <c r="D734" s="202"/>
      <c r="E734" s="200" t="s">
        <v>1571</v>
      </c>
      <c r="F734" s="79"/>
    </row>
    <row r="735" spans="1:6" ht="13.5">
      <c r="A735" s="203" t="s">
        <v>467</v>
      </c>
      <c r="B735" s="203" t="s">
        <v>5330</v>
      </c>
      <c r="C735" s="200">
        <f>COUNTIF(単語!G:L,単語辞書!A735)</f>
        <v>5</v>
      </c>
      <c r="D735" s="202"/>
      <c r="E735" s="200" t="s">
        <v>1571</v>
      </c>
      <c r="F735" s="79"/>
    </row>
    <row r="736" spans="1:6" ht="13.5">
      <c r="A736" s="203" t="s">
        <v>302</v>
      </c>
      <c r="B736" s="203" t="s">
        <v>5329</v>
      </c>
      <c r="C736" s="200">
        <f>COUNTIF(単語!G:L,単語辞書!A736)</f>
        <v>3</v>
      </c>
      <c r="D736" s="202"/>
      <c r="E736" s="200" t="s">
        <v>1571</v>
      </c>
      <c r="F736" s="79"/>
    </row>
    <row r="737" spans="1:6" ht="13.5">
      <c r="A737" s="203" t="s">
        <v>2904</v>
      </c>
      <c r="B737" s="203" t="s">
        <v>5328</v>
      </c>
      <c r="C737" s="200">
        <f>COUNTIF(単語!G:L,単語辞書!A737)</f>
        <v>1</v>
      </c>
      <c r="D737" s="202"/>
      <c r="E737" s="200" t="s">
        <v>1571</v>
      </c>
      <c r="F737" s="79"/>
    </row>
    <row r="738" spans="1:6" ht="13.5">
      <c r="A738" s="203" t="s">
        <v>2905</v>
      </c>
      <c r="B738" s="203" t="s">
        <v>5327</v>
      </c>
      <c r="C738" s="200">
        <f>COUNTIF(単語!G:L,単語辞書!A738)</f>
        <v>2</v>
      </c>
      <c r="D738" s="202"/>
      <c r="E738" s="200" t="s">
        <v>1571</v>
      </c>
      <c r="F738" s="79"/>
    </row>
    <row r="739" spans="1:6" ht="13.5">
      <c r="A739" s="203" t="s">
        <v>5326</v>
      </c>
      <c r="B739" s="203" t="s">
        <v>5325</v>
      </c>
      <c r="C739" s="200">
        <f>COUNTIF(単語!G:L,単語辞書!A739)</f>
        <v>1</v>
      </c>
      <c r="D739" s="202"/>
      <c r="E739" s="200" t="s">
        <v>1571</v>
      </c>
      <c r="F739" s="79"/>
    </row>
    <row r="740" spans="1:6" ht="13.5">
      <c r="A740" s="203" t="s">
        <v>2897</v>
      </c>
      <c r="B740" s="203" t="s">
        <v>5324</v>
      </c>
      <c r="C740" s="200">
        <f>COUNTIF(単語!G:L,単語辞書!A740)</f>
        <v>3</v>
      </c>
      <c r="D740" s="202"/>
      <c r="E740" s="200" t="s">
        <v>1571</v>
      </c>
      <c r="F740" s="79"/>
    </row>
    <row r="741" spans="1:6" ht="13.5">
      <c r="A741" s="203" t="s">
        <v>2895</v>
      </c>
      <c r="B741" s="203" t="s">
        <v>5323</v>
      </c>
      <c r="C741" s="200">
        <f>COUNTIF(単語!G:L,単語辞書!A741)</f>
        <v>1</v>
      </c>
      <c r="D741" s="202"/>
      <c r="E741" s="200" t="s">
        <v>1571</v>
      </c>
      <c r="F741" s="79"/>
    </row>
    <row r="742" spans="1:6" ht="13.5">
      <c r="A742" s="203" t="s">
        <v>2891</v>
      </c>
      <c r="B742" s="203" t="s">
        <v>5322</v>
      </c>
      <c r="C742" s="200">
        <f>COUNTIF(単語!G:L,単語辞書!A742)</f>
        <v>2</v>
      </c>
      <c r="D742" s="202"/>
      <c r="E742" s="200" t="s">
        <v>1571</v>
      </c>
      <c r="F742" s="79"/>
    </row>
    <row r="743" spans="1:6" ht="13.5">
      <c r="A743" s="203" t="s">
        <v>2887</v>
      </c>
      <c r="B743" s="203" t="s">
        <v>5321</v>
      </c>
      <c r="C743" s="200">
        <f>COUNTIF(単語!G:L,単語辞書!A743)</f>
        <v>2</v>
      </c>
      <c r="D743" s="202"/>
      <c r="E743" s="200" t="s">
        <v>1571</v>
      </c>
      <c r="F743" s="79"/>
    </row>
    <row r="744" spans="1:6" ht="13.5">
      <c r="A744" s="203" t="s">
        <v>4632</v>
      </c>
      <c r="B744" s="203" t="s">
        <v>5320</v>
      </c>
      <c r="C744" s="200">
        <f>COUNTIF(単語!G:L,単語辞書!A744)</f>
        <v>1</v>
      </c>
      <c r="D744" s="202"/>
      <c r="E744" s="200" t="s">
        <v>1571</v>
      </c>
      <c r="F744" s="79"/>
    </row>
    <row r="745" spans="1:6" ht="13.5">
      <c r="A745" s="203" t="s">
        <v>1245</v>
      </c>
      <c r="B745" s="203" t="s">
        <v>5319</v>
      </c>
      <c r="C745" s="200">
        <f>COUNTIF(単語!G:L,単語辞書!A745)</f>
        <v>6</v>
      </c>
      <c r="D745" s="202"/>
      <c r="E745" s="200" t="s">
        <v>1571</v>
      </c>
      <c r="F745" s="79"/>
    </row>
    <row r="746" spans="1:6" ht="13.5">
      <c r="A746" s="203" t="s">
        <v>3633</v>
      </c>
      <c r="B746" s="203" t="s">
        <v>5318</v>
      </c>
      <c r="C746" s="200">
        <f>COUNTIF(単語!G:L,単語辞書!A746)</f>
        <v>1</v>
      </c>
      <c r="D746" s="202"/>
      <c r="E746" s="200" t="s">
        <v>1571</v>
      </c>
      <c r="F746" s="79"/>
    </row>
    <row r="747" spans="1:6" ht="13.5">
      <c r="A747" s="203" t="s">
        <v>2886</v>
      </c>
      <c r="B747" s="203" t="s">
        <v>5317</v>
      </c>
      <c r="C747" s="200">
        <f>COUNTIF(単語!G:L,単語辞書!A747)</f>
        <v>2</v>
      </c>
      <c r="D747" s="202"/>
      <c r="E747" s="200" t="s">
        <v>1571</v>
      </c>
      <c r="F747" s="79"/>
    </row>
    <row r="748" spans="1:6" ht="13.5">
      <c r="A748" s="203" t="s">
        <v>3159</v>
      </c>
      <c r="B748" s="203" t="s">
        <v>5316</v>
      </c>
      <c r="C748" s="200">
        <f>COUNTIF(単語!G:L,単語辞書!A748)</f>
        <v>1</v>
      </c>
      <c r="D748" s="202"/>
      <c r="E748" s="200" t="s">
        <v>1571</v>
      </c>
      <c r="F748" s="79"/>
    </row>
    <row r="749" spans="1:6" ht="13.5">
      <c r="A749" s="203" t="s">
        <v>2967</v>
      </c>
      <c r="B749" s="210" t="s">
        <v>5315</v>
      </c>
      <c r="C749" s="200">
        <f>COUNTIF(単語!G:L,単語辞書!A749)</f>
        <v>5</v>
      </c>
      <c r="D749" s="202" t="s">
        <v>5314</v>
      </c>
      <c r="E749" s="200" t="s">
        <v>1571</v>
      </c>
      <c r="F749" s="79"/>
    </row>
    <row r="750" spans="1:6" ht="13.5">
      <c r="A750" s="203" t="s">
        <v>2842</v>
      </c>
      <c r="B750" s="203" t="s">
        <v>5313</v>
      </c>
      <c r="C750" s="200">
        <f>COUNTIF(単語!G:L,単語辞書!A750)</f>
        <v>3</v>
      </c>
      <c r="D750" s="202"/>
      <c r="E750" s="200" t="s">
        <v>1571</v>
      </c>
      <c r="F750" s="79"/>
    </row>
    <row r="751" spans="1:6" ht="13.5">
      <c r="A751" s="203" t="s">
        <v>2484</v>
      </c>
      <c r="B751" s="203" t="s">
        <v>5312</v>
      </c>
      <c r="C751" s="200">
        <f>COUNTIF(単語!G:L,単語辞書!A751)</f>
        <v>2</v>
      </c>
      <c r="D751" s="202"/>
      <c r="E751" s="200" t="s">
        <v>1571</v>
      </c>
      <c r="F751" s="79"/>
    </row>
    <row r="752" spans="1:6" ht="13.5">
      <c r="A752" s="203" t="s">
        <v>3283</v>
      </c>
      <c r="B752" s="203" t="s">
        <v>5311</v>
      </c>
      <c r="C752" s="200">
        <f>COUNTIF(単語!G:L,単語辞書!A752)</f>
        <v>1</v>
      </c>
      <c r="D752" s="202"/>
      <c r="E752" s="200" t="s">
        <v>1571</v>
      </c>
      <c r="F752" s="79"/>
    </row>
    <row r="753" spans="1:6" ht="13.5">
      <c r="A753" s="203" t="s">
        <v>872</v>
      </c>
      <c r="B753" s="203" t="s">
        <v>5310</v>
      </c>
      <c r="C753" s="200">
        <f>COUNTIF(単語!G:L,単語辞書!A753)</f>
        <v>16</v>
      </c>
      <c r="D753" s="202"/>
      <c r="E753" s="200" t="s">
        <v>1571</v>
      </c>
      <c r="F753" s="79"/>
    </row>
    <row r="754" spans="1:6" ht="13.5">
      <c r="A754" s="203" t="s">
        <v>3463</v>
      </c>
      <c r="B754" s="203" t="s">
        <v>5309</v>
      </c>
      <c r="C754" s="200">
        <f>COUNTIF(単語!G:L,単語辞書!A754)</f>
        <v>2</v>
      </c>
      <c r="D754" s="202"/>
      <c r="E754" s="200" t="s">
        <v>1571</v>
      </c>
      <c r="F754" s="79"/>
    </row>
    <row r="755" spans="1:6" ht="13.5">
      <c r="A755" s="203" t="s">
        <v>2588</v>
      </c>
      <c r="B755" s="203" t="s">
        <v>5308</v>
      </c>
      <c r="C755" s="200">
        <f>COUNTIF(単語!G:L,単語辞書!A755)</f>
        <v>1</v>
      </c>
      <c r="D755" s="202"/>
      <c r="E755" s="200" t="s">
        <v>1571</v>
      </c>
      <c r="F755" s="79"/>
    </row>
    <row r="756" spans="1:6" ht="13.5">
      <c r="A756" s="203" t="s">
        <v>2830</v>
      </c>
      <c r="B756" s="203" t="s">
        <v>5307</v>
      </c>
      <c r="C756" s="200">
        <f>COUNTIF(単語!G:L,単語辞書!A756)</f>
        <v>1</v>
      </c>
      <c r="D756" s="202"/>
      <c r="E756" s="200" t="s">
        <v>1571</v>
      </c>
      <c r="F756" s="79"/>
    </row>
    <row r="757" spans="1:6" ht="13.5">
      <c r="A757" s="203" t="s">
        <v>2828</v>
      </c>
      <c r="B757" s="203" t="s">
        <v>5306</v>
      </c>
      <c r="C757" s="200">
        <f>COUNTIF(単語!G:L,単語辞書!A757)</f>
        <v>2</v>
      </c>
      <c r="D757" s="202"/>
      <c r="E757" s="200" t="s">
        <v>1571</v>
      </c>
      <c r="F757" s="79"/>
    </row>
    <row r="758" spans="1:6" ht="13.5">
      <c r="A758" s="203" t="s">
        <v>638</v>
      </c>
      <c r="B758" s="203" t="s">
        <v>5305</v>
      </c>
      <c r="C758" s="200">
        <f>COUNTIF(単語!G:L,単語辞書!A758)</f>
        <v>10</v>
      </c>
      <c r="D758" s="202"/>
      <c r="E758" s="200" t="s">
        <v>1571</v>
      </c>
      <c r="F758" s="79"/>
    </row>
    <row r="759" spans="1:6" ht="13.5">
      <c r="A759" s="203" t="s">
        <v>2825</v>
      </c>
      <c r="B759" s="203" t="s">
        <v>5304</v>
      </c>
      <c r="C759" s="200">
        <f>COUNTIF(単語!G:L,単語辞書!A759)</f>
        <v>1</v>
      </c>
      <c r="D759" s="202"/>
      <c r="E759" s="200" t="s">
        <v>1571</v>
      </c>
      <c r="F759" s="79"/>
    </row>
    <row r="760" spans="1:6" ht="13.5">
      <c r="A760" s="203" t="s">
        <v>827</v>
      </c>
      <c r="B760" s="203" t="s">
        <v>5303</v>
      </c>
      <c r="C760" s="200">
        <f>COUNTIF(単語!G:L,単語辞書!A760)</f>
        <v>4</v>
      </c>
      <c r="D760" s="202"/>
      <c r="E760" s="200" t="s">
        <v>1571</v>
      </c>
      <c r="F760" s="79"/>
    </row>
    <row r="761" spans="1:6" ht="13.5">
      <c r="A761" s="203" t="s">
        <v>3515</v>
      </c>
      <c r="B761" s="203" t="s">
        <v>5302</v>
      </c>
      <c r="C761" s="200">
        <f>COUNTIF(単語!G:L,単語辞書!A761)</f>
        <v>3</v>
      </c>
      <c r="D761" s="202"/>
      <c r="E761" s="200" t="s">
        <v>1571</v>
      </c>
      <c r="F761" s="79"/>
    </row>
    <row r="762" spans="1:6" ht="13.5">
      <c r="A762" s="203" t="s">
        <v>830</v>
      </c>
      <c r="B762" s="203" t="s">
        <v>5301</v>
      </c>
      <c r="C762" s="200">
        <f>COUNTIF(単語!G:L,単語辞書!A762)</f>
        <v>5</v>
      </c>
      <c r="D762" s="202"/>
      <c r="E762" s="200" t="s">
        <v>1571</v>
      </c>
      <c r="F762" s="79"/>
    </row>
    <row r="763" spans="1:6" ht="13.5">
      <c r="A763" s="203" t="s">
        <v>764</v>
      </c>
      <c r="B763" s="203" t="s">
        <v>5300</v>
      </c>
      <c r="C763" s="200">
        <f>COUNTIF(単語!G:L,単語辞書!A763)</f>
        <v>122</v>
      </c>
      <c r="D763" s="202"/>
      <c r="E763" s="200" t="s">
        <v>1571</v>
      </c>
      <c r="F763" s="79"/>
    </row>
    <row r="764" spans="1:6" ht="13.5">
      <c r="A764" s="203" t="s">
        <v>855</v>
      </c>
      <c r="B764" s="203" t="s">
        <v>5299</v>
      </c>
      <c r="C764" s="200">
        <f>COUNTIF(単語!G:L,単語辞書!A764)</f>
        <v>11</v>
      </c>
      <c r="D764" s="202"/>
      <c r="E764" s="200" t="s">
        <v>1571</v>
      </c>
      <c r="F764" s="79"/>
    </row>
    <row r="765" spans="1:6" ht="13.5">
      <c r="A765" s="203" t="s">
        <v>5298</v>
      </c>
      <c r="B765" s="203" t="s">
        <v>5297</v>
      </c>
      <c r="C765" s="200">
        <f>COUNTIF(単語!G:L,単語辞書!A765)</f>
        <v>6</v>
      </c>
      <c r="D765" s="202"/>
      <c r="E765" s="200" t="s">
        <v>1571</v>
      </c>
      <c r="F765" s="79"/>
    </row>
    <row r="766" spans="1:6" ht="13.5">
      <c r="A766" s="203" t="s">
        <v>5296</v>
      </c>
      <c r="B766" s="203" t="s">
        <v>5295</v>
      </c>
      <c r="C766" s="200">
        <f>COUNTIF(単語!G:L,単語辞書!A766)</f>
        <v>2</v>
      </c>
      <c r="D766" s="202"/>
      <c r="E766" s="200" t="s">
        <v>1571</v>
      </c>
      <c r="F766" s="79"/>
    </row>
    <row r="767" spans="1:6" ht="13.5">
      <c r="A767" s="203" t="s">
        <v>375</v>
      </c>
      <c r="B767" s="203" t="s">
        <v>5294</v>
      </c>
      <c r="C767" s="200">
        <f>COUNTIF(単語!G:L,単語辞書!A767)</f>
        <v>44</v>
      </c>
      <c r="D767" s="202"/>
      <c r="E767" s="200" t="s">
        <v>1571</v>
      </c>
      <c r="F767" s="79"/>
    </row>
    <row r="768" spans="1:6" ht="13.5">
      <c r="A768" s="203" t="s">
        <v>2256</v>
      </c>
      <c r="B768" s="203" t="s">
        <v>49</v>
      </c>
      <c r="C768" s="200">
        <f>COUNTIF(単語!G:L,単語辞書!A768)</f>
        <v>8</v>
      </c>
      <c r="D768" s="202"/>
      <c r="E768" s="200" t="s">
        <v>1571</v>
      </c>
      <c r="F768" s="79"/>
    </row>
    <row r="769" spans="1:6" ht="13.5">
      <c r="A769" s="203" t="s">
        <v>2532</v>
      </c>
      <c r="B769" s="203" t="s">
        <v>5293</v>
      </c>
      <c r="C769" s="200">
        <f>COUNTIF(単語!G:L,単語辞書!A769)</f>
        <v>12</v>
      </c>
      <c r="D769" s="202"/>
      <c r="E769" s="200" t="s">
        <v>1571</v>
      </c>
      <c r="F769" s="79"/>
    </row>
    <row r="770" spans="1:6" ht="13.5">
      <c r="A770" s="203" t="s">
        <v>1375</v>
      </c>
      <c r="B770" s="203" t="s">
        <v>5292</v>
      </c>
      <c r="C770" s="200">
        <f>COUNTIF(単語!G:L,単語辞書!A770)</f>
        <v>5</v>
      </c>
      <c r="D770" s="202"/>
      <c r="E770" s="200" t="s">
        <v>1571</v>
      </c>
      <c r="F770" s="79"/>
    </row>
    <row r="771" spans="1:6" ht="13.5">
      <c r="A771" s="203" t="s">
        <v>3638</v>
      </c>
      <c r="B771" s="203" t="s">
        <v>49</v>
      </c>
      <c r="C771" s="200">
        <f>COUNTIF(単語!G:L,単語辞書!A771)</f>
        <v>32</v>
      </c>
      <c r="D771" s="202"/>
      <c r="E771" s="200" t="s">
        <v>1571</v>
      </c>
      <c r="F771" s="79"/>
    </row>
    <row r="772" spans="1:6" ht="13.5">
      <c r="A772" s="203" t="s">
        <v>2533</v>
      </c>
      <c r="B772" s="203" t="s">
        <v>5291</v>
      </c>
      <c r="C772" s="200">
        <f>COUNTIF(単語!G:L,単語辞書!A772)</f>
        <v>16</v>
      </c>
      <c r="D772" s="202"/>
      <c r="E772" s="200" t="s">
        <v>1571</v>
      </c>
      <c r="F772" s="79"/>
    </row>
    <row r="773" spans="1:6" ht="13.5">
      <c r="A773" s="203" t="s">
        <v>4095</v>
      </c>
      <c r="B773" s="203" t="s">
        <v>5290</v>
      </c>
      <c r="C773" s="200">
        <f>COUNTIF(単語!G:L,単語辞書!A773)</f>
        <v>1</v>
      </c>
      <c r="D773" s="202"/>
      <c r="E773" s="200" t="s">
        <v>1571</v>
      </c>
      <c r="F773" s="79"/>
    </row>
    <row r="774" spans="1:6" ht="13.5">
      <c r="A774" s="203" t="s">
        <v>1841</v>
      </c>
      <c r="B774" s="203" t="s">
        <v>5289</v>
      </c>
      <c r="C774" s="200">
        <f>COUNTIF(単語!G:L,単語辞書!A774)</f>
        <v>6</v>
      </c>
      <c r="D774" s="202"/>
      <c r="E774" s="200" t="s">
        <v>1571</v>
      </c>
      <c r="F774" s="79"/>
    </row>
    <row r="775" spans="1:6" ht="13.5">
      <c r="A775" s="203" t="s">
        <v>2741</v>
      </c>
      <c r="B775" s="203" t="s">
        <v>5288</v>
      </c>
      <c r="C775" s="200">
        <f>COUNTIF(単語!G:L,単語辞書!A775)</f>
        <v>1</v>
      </c>
      <c r="D775" s="202"/>
      <c r="E775" s="200" t="s">
        <v>1571</v>
      </c>
      <c r="F775" s="79"/>
    </row>
    <row r="776" spans="1:6" ht="13.5">
      <c r="A776" s="203" t="s">
        <v>1877</v>
      </c>
      <c r="B776" s="203" t="s">
        <v>5287</v>
      </c>
      <c r="C776" s="200">
        <f>COUNTIF(単語!G:L,単語辞書!A776)</f>
        <v>1</v>
      </c>
      <c r="D776" s="202"/>
      <c r="E776" s="200" t="s">
        <v>1571</v>
      </c>
      <c r="F776" s="79"/>
    </row>
    <row r="777" spans="1:6" ht="13.5">
      <c r="A777" s="203" t="s">
        <v>2740</v>
      </c>
      <c r="B777" s="203" t="s">
        <v>5286</v>
      </c>
      <c r="C777" s="200">
        <f>COUNTIF(単語!G:L,単語辞書!A777)</f>
        <v>1</v>
      </c>
      <c r="D777" s="202"/>
      <c r="E777" s="200" t="s">
        <v>1571</v>
      </c>
      <c r="F777" s="79"/>
    </row>
    <row r="778" spans="1:6" ht="13.5">
      <c r="A778" s="203" t="s">
        <v>2739</v>
      </c>
      <c r="B778" s="203" t="s">
        <v>5285</v>
      </c>
      <c r="C778" s="200">
        <f>COUNTIF(単語!G:L,単語辞書!A778)</f>
        <v>1</v>
      </c>
      <c r="D778" s="202"/>
      <c r="E778" s="200" t="s">
        <v>1571</v>
      </c>
      <c r="F778" s="79"/>
    </row>
    <row r="779" spans="1:6" ht="13.5">
      <c r="A779" s="203" t="s">
        <v>2738</v>
      </c>
      <c r="B779" s="203" t="s">
        <v>5284</v>
      </c>
      <c r="C779" s="200">
        <f>COUNTIF(単語!G:L,単語辞書!A779)</f>
        <v>1</v>
      </c>
      <c r="D779" s="202"/>
      <c r="E779" s="200" t="s">
        <v>1571</v>
      </c>
      <c r="F779" s="79"/>
    </row>
    <row r="780" spans="1:6" ht="13.5">
      <c r="A780" s="203" t="s">
        <v>2355</v>
      </c>
      <c r="B780" s="210" t="s">
        <v>5283</v>
      </c>
      <c r="C780" s="200">
        <f>COUNTIF(単語!G:L,単語辞書!A780)</f>
        <v>10</v>
      </c>
      <c r="D780" s="202"/>
      <c r="E780" s="200" t="s">
        <v>1571</v>
      </c>
      <c r="F780" s="79"/>
    </row>
    <row r="781" spans="1:6" ht="13.5">
      <c r="A781" s="203" t="s">
        <v>5282</v>
      </c>
      <c r="B781" s="203" t="s">
        <v>5281</v>
      </c>
      <c r="C781" s="200">
        <f>COUNTIF(単語!G:L,単語辞書!A781)</f>
        <v>2</v>
      </c>
      <c r="D781" s="202"/>
      <c r="E781" s="200" t="s">
        <v>1571</v>
      </c>
      <c r="F781" s="79"/>
    </row>
    <row r="782" spans="1:6" ht="13.5">
      <c r="A782" s="203" t="s">
        <v>959</v>
      </c>
      <c r="B782" s="203" t="s">
        <v>5280</v>
      </c>
      <c r="C782" s="200">
        <f>COUNTIF(単語!G:L,単語辞書!A782)</f>
        <v>20</v>
      </c>
      <c r="D782" s="202"/>
      <c r="E782" s="200" t="s">
        <v>1571</v>
      </c>
      <c r="F782" s="79"/>
    </row>
    <row r="783" spans="1:6" ht="13.5">
      <c r="A783" s="203" t="s">
        <v>2719</v>
      </c>
      <c r="B783" s="203" t="s">
        <v>5279</v>
      </c>
      <c r="C783" s="200">
        <f>COUNTIF(単語!G:L,単語辞書!A783)</f>
        <v>4</v>
      </c>
      <c r="D783" s="202"/>
      <c r="E783" s="200" t="s">
        <v>1571</v>
      </c>
      <c r="F783" s="79"/>
    </row>
    <row r="784" spans="1:6" ht="13.5">
      <c r="A784" s="203" t="s">
        <v>2704</v>
      </c>
      <c r="B784" s="203" t="s">
        <v>4742</v>
      </c>
      <c r="C784" s="200">
        <f>COUNTIF(単語!G:L,単語辞書!A784)</f>
        <v>12</v>
      </c>
      <c r="D784" s="202"/>
      <c r="E784" s="200" t="s">
        <v>1571</v>
      </c>
      <c r="F784" s="79"/>
    </row>
    <row r="785" spans="1:6" ht="13.5">
      <c r="A785" s="203" t="s">
        <v>3734</v>
      </c>
      <c r="B785" s="203" t="s">
        <v>5278</v>
      </c>
      <c r="C785" s="200">
        <f>COUNTIF(単語!G:L,単語辞書!A785)</f>
        <v>1</v>
      </c>
      <c r="D785" s="202"/>
      <c r="E785" s="200" t="s">
        <v>1571</v>
      </c>
      <c r="F785" s="79"/>
    </row>
    <row r="786" spans="1:6" ht="13.5">
      <c r="A786" s="203" t="s">
        <v>1914</v>
      </c>
      <c r="B786" s="203" t="s">
        <v>5277</v>
      </c>
      <c r="C786" s="200">
        <f>COUNTIF(単語!G:L,単語辞書!A786)</f>
        <v>58</v>
      </c>
      <c r="D786" s="202"/>
      <c r="E786" s="200" t="s">
        <v>1571</v>
      </c>
      <c r="F786" s="79"/>
    </row>
    <row r="787" spans="1:6" ht="13.5">
      <c r="A787" s="203" t="s">
        <v>5276</v>
      </c>
      <c r="B787" s="203" t="s">
        <v>5275</v>
      </c>
      <c r="C787" s="200">
        <f>COUNTIF(単語!G:L,単語辞書!A787)</f>
        <v>0</v>
      </c>
      <c r="D787" s="202"/>
      <c r="E787" s="200" t="s">
        <v>1571</v>
      </c>
      <c r="F787" s="79"/>
    </row>
    <row r="788" spans="1:6" ht="13.5">
      <c r="A788" s="203" t="s">
        <v>2728</v>
      </c>
      <c r="B788" s="203" t="s">
        <v>5274</v>
      </c>
      <c r="C788" s="200">
        <f>COUNTIF(単語!G:L,単語辞書!A788)</f>
        <v>1</v>
      </c>
      <c r="D788" s="202"/>
      <c r="E788" s="200" t="s">
        <v>1571</v>
      </c>
      <c r="F788" s="79"/>
    </row>
    <row r="789" spans="1:6" ht="13.5">
      <c r="A789" s="203" t="s">
        <v>3091</v>
      </c>
      <c r="B789" s="203" t="s">
        <v>5273</v>
      </c>
      <c r="C789" s="200">
        <f>COUNTIF(単語!G:L,単語辞書!A789)</f>
        <v>3</v>
      </c>
      <c r="D789" s="202"/>
      <c r="E789" s="200" t="s">
        <v>1571</v>
      </c>
      <c r="F789" s="79"/>
    </row>
    <row r="790" spans="1:6" ht="13.5">
      <c r="A790" s="203" t="s">
        <v>960</v>
      </c>
      <c r="B790" s="203" t="s">
        <v>5272</v>
      </c>
      <c r="C790" s="200">
        <f>COUNTIF(単語!G:L,単語辞書!A790)</f>
        <v>10</v>
      </c>
      <c r="D790" s="202"/>
      <c r="E790" s="200" t="s">
        <v>1571</v>
      </c>
      <c r="F790" s="79"/>
    </row>
    <row r="791" spans="1:6" ht="13.5">
      <c r="A791" s="203" t="s">
        <v>3642</v>
      </c>
      <c r="B791" s="203" t="s">
        <v>5271</v>
      </c>
      <c r="C791" s="200">
        <f>COUNTIF(単語!G:L,単語辞書!A791)</f>
        <v>11</v>
      </c>
      <c r="D791" s="202"/>
      <c r="E791" s="200" t="s">
        <v>1571</v>
      </c>
      <c r="F791" s="79"/>
    </row>
    <row r="792" spans="1:6" ht="13.5">
      <c r="A792" s="203" t="s">
        <v>2518</v>
      </c>
      <c r="B792" s="203" t="s">
        <v>5270</v>
      </c>
      <c r="C792" s="200">
        <f>COUNTIF(単語!G:L,単語辞書!A792)</f>
        <v>7</v>
      </c>
      <c r="D792" s="202"/>
      <c r="E792" s="200" t="s">
        <v>1571</v>
      </c>
      <c r="F792" s="79"/>
    </row>
    <row r="793" spans="1:6" ht="13.5">
      <c r="A793" s="203" t="s">
        <v>2662</v>
      </c>
      <c r="B793" s="203" t="s">
        <v>5269</v>
      </c>
      <c r="C793" s="200">
        <f>COUNTIF(単語!G:L,単語辞書!A793)</f>
        <v>5</v>
      </c>
      <c r="D793" s="202"/>
      <c r="E793" s="200" t="s">
        <v>1571</v>
      </c>
      <c r="F793" s="79"/>
    </row>
    <row r="794" spans="1:6" ht="13.5">
      <c r="A794" s="203" t="s">
        <v>880</v>
      </c>
      <c r="B794" s="203" t="s">
        <v>5269</v>
      </c>
      <c r="C794" s="200">
        <f>COUNTIF(単語!G:L,単語辞書!A794)</f>
        <v>9</v>
      </c>
      <c r="D794" s="202"/>
      <c r="E794" s="200" t="s">
        <v>1571</v>
      </c>
      <c r="F794" s="79"/>
    </row>
    <row r="795" spans="1:6" ht="13.5">
      <c r="A795" s="203" t="s">
        <v>5268</v>
      </c>
      <c r="B795" s="210" t="s">
        <v>5267</v>
      </c>
      <c r="C795" s="200">
        <f>COUNTIF(単語!G:L,単語辞書!A795)</f>
        <v>10</v>
      </c>
      <c r="D795" s="202"/>
      <c r="E795" s="200" t="s">
        <v>1571</v>
      </c>
      <c r="F795" s="79"/>
    </row>
    <row r="796" spans="1:6" ht="13.5">
      <c r="A796" s="203" t="s">
        <v>1000</v>
      </c>
      <c r="B796" s="203" t="s">
        <v>5266</v>
      </c>
      <c r="C796" s="200">
        <f>COUNTIF(単語!G:L,単語辞書!A796)</f>
        <v>14</v>
      </c>
      <c r="D796" s="202"/>
      <c r="E796" s="200" t="s">
        <v>1571</v>
      </c>
      <c r="F796" s="79"/>
    </row>
    <row r="797" spans="1:6" ht="13.5">
      <c r="A797" s="203" t="s">
        <v>428</v>
      </c>
      <c r="B797" s="203" t="s">
        <v>5265</v>
      </c>
      <c r="C797" s="200">
        <f>COUNTIF(単語!G:L,単語辞書!A797)</f>
        <v>6</v>
      </c>
      <c r="D797" s="202"/>
      <c r="E797" s="200" t="s">
        <v>1571</v>
      </c>
      <c r="F797" s="79"/>
    </row>
    <row r="798" spans="1:6" ht="13.5">
      <c r="A798" s="203" t="s">
        <v>5264</v>
      </c>
      <c r="B798" s="203" t="s">
        <v>5263</v>
      </c>
      <c r="C798" s="200">
        <f>COUNTIF(単語!G:L,単語辞書!A798)</f>
        <v>1</v>
      </c>
      <c r="D798" s="202"/>
      <c r="E798" s="200" t="s">
        <v>1571</v>
      </c>
      <c r="F798" s="79"/>
    </row>
    <row r="799" spans="1:6" ht="13.5">
      <c r="A799" s="203" t="s">
        <v>2694</v>
      </c>
      <c r="B799" s="203" t="s">
        <v>5262</v>
      </c>
      <c r="C799" s="200">
        <f>COUNTIF(単語!G:L,単語辞書!A799)</f>
        <v>2</v>
      </c>
      <c r="D799" s="202"/>
      <c r="E799" s="200" t="s">
        <v>1571</v>
      </c>
      <c r="F799" s="79"/>
    </row>
    <row r="800" spans="1:6" ht="13.5">
      <c r="A800" s="203" t="s">
        <v>5261</v>
      </c>
      <c r="B800" s="203" t="s">
        <v>5260</v>
      </c>
      <c r="C800" s="200">
        <f>COUNTIF(単語!G:L,単語辞書!A800)</f>
        <v>0</v>
      </c>
      <c r="D800" s="202"/>
      <c r="E800" s="200" t="s">
        <v>1571</v>
      </c>
      <c r="F800" s="79"/>
    </row>
    <row r="801" spans="1:6" ht="13.5">
      <c r="A801" s="203" t="s">
        <v>2691</v>
      </c>
      <c r="B801" s="203" t="s">
        <v>5259</v>
      </c>
      <c r="C801" s="200">
        <f>COUNTIF(単語!G:L,単語辞書!A801)</f>
        <v>1</v>
      </c>
      <c r="D801" s="202"/>
      <c r="E801" s="200" t="s">
        <v>1571</v>
      </c>
      <c r="F801" s="79"/>
    </row>
    <row r="802" spans="1:6" ht="13.5">
      <c r="A802" s="203" t="s">
        <v>357</v>
      </c>
      <c r="B802" s="203" t="s">
        <v>5258</v>
      </c>
      <c r="C802" s="200">
        <f>COUNTIF(単語!G:L,単語辞書!A802)</f>
        <v>3</v>
      </c>
      <c r="D802" s="202"/>
      <c r="E802" s="200" t="s">
        <v>1571</v>
      </c>
      <c r="F802" s="79"/>
    </row>
    <row r="803" spans="1:6" ht="13.5">
      <c r="A803" s="203" t="s">
        <v>5257</v>
      </c>
      <c r="B803" s="203" t="s">
        <v>5256</v>
      </c>
      <c r="C803" s="200">
        <f>COUNTIF(単語!G:L,単語辞書!A803)</f>
        <v>1</v>
      </c>
      <c r="D803" s="202"/>
      <c r="E803" s="200" t="s">
        <v>1571</v>
      </c>
      <c r="F803" s="79"/>
    </row>
    <row r="804" spans="1:6" ht="13.5">
      <c r="A804" s="203" t="s">
        <v>131</v>
      </c>
      <c r="B804" s="203" t="s">
        <v>5255</v>
      </c>
      <c r="C804" s="200">
        <f>COUNTIF(単語!G:L,単語辞書!A804)</f>
        <v>67</v>
      </c>
      <c r="D804" s="202"/>
      <c r="E804" s="200" t="s">
        <v>1571</v>
      </c>
      <c r="F804" s="79"/>
    </row>
    <row r="805" spans="1:6" ht="13.5">
      <c r="A805" s="203" t="s">
        <v>2624</v>
      </c>
      <c r="B805" s="203" t="s">
        <v>5254</v>
      </c>
      <c r="C805" s="200">
        <f>COUNTIF(単語!G:L,単語辞書!A805)</f>
        <v>4</v>
      </c>
      <c r="D805" s="202"/>
      <c r="E805" s="200" t="s">
        <v>1571</v>
      </c>
      <c r="F805" s="79"/>
    </row>
    <row r="806" spans="1:6" ht="13.5">
      <c r="A806" s="203" t="s">
        <v>2319</v>
      </c>
      <c r="B806" s="203" t="s">
        <v>5253</v>
      </c>
      <c r="C806" s="200">
        <f>COUNTIF(単語!G:L,単語辞書!A806)</f>
        <v>3</v>
      </c>
      <c r="D806" s="202"/>
      <c r="E806" s="200" t="s">
        <v>1571</v>
      </c>
      <c r="F806" s="79"/>
    </row>
    <row r="807" spans="1:6" ht="13.5">
      <c r="A807" s="203" t="s">
        <v>3216</v>
      </c>
      <c r="B807" s="203" t="s">
        <v>5252</v>
      </c>
      <c r="C807" s="200">
        <f>COUNTIF(単語!G:L,単語辞書!A807)</f>
        <v>3</v>
      </c>
      <c r="D807" s="202"/>
      <c r="E807" s="200" t="s">
        <v>1571</v>
      </c>
      <c r="F807" s="79"/>
    </row>
    <row r="808" spans="1:6" ht="13.5">
      <c r="A808" s="203" t="s">
        <v>3682</v>
      </c>
      <c r="B808" s="203" t="s">
        <v>5251</v>
      </c>
      <c r="C808" s="200">
        <f>COUNTIF(単語!G:L,単語辞書!A808)</f>
        <v>1</v>
      </c>
      <c r="D808" s="202"/>
      <c r="E808" s="200" t="s">
        <v>1571</v>
      </c>
      <c r="F808" s="79"/>
    </row>
    <row r="809" spans="1:6" ht="13.5">
      <c r="A809" s="203" t="s">
        <v>2623</v>
      </c>
      <c r="B809" s="203" t="s">
        <v>5250</v>
      </c>
      <c r="C809" s="200">
        <f>COUNTIF(単語!G:L,単語辞書!A809)</f>
        <v>1</v>
      </c>
      <c r="D809" s="202"/>
      <c r="E809" s="200" t="s">
        <v>1571</v>
      </c>
      <c r="F809" s="79"/>
    </row>
    <row r="810" spans="1:6" ht="13.5">
      <c r="A810" s="203" t="s">
        <v>2565</v>
      </c>
      <c r="B810" s="203" t="s">
        <v>5249</v>
      </c>
      <c r="C810" s="200">
        <f>COUNTIF(単語!G:L,単語辞書!A810)</f>
        <v>3</v>
      </c>
      <c r="D810" s="202"/>
      <c r="E810" s="200" t="s">
        <v>1571</v>
      </c>
      <c r="F810" s="79"/>
    </row>
    <row r="811" spans="1:6" ht="13.5">
      <c r="A811" s="203" t="s">
        <v>5248</v>
      </c>
      <c r="B811" s="203" t="s">
        <v>5247</v>
      </c>
      <c r="C811" s="200">
        <f>COUNTIF(単語!G:L,単語辞書!A811)</f>
        <v>1</v>
      </c>
      <c r="D811" s="202"/>
      <c r="E811" s="200" t="s">
        <v>1571</v>
      </c>
      <c r="F811" s="79"/>
    </row>
    <row r="812" spans="1:6" ht="13.5">
      <c r="A812" s="203" t="s">
        <v>739</v>
      </c>
      <c r="B812" s="203" t="s">
        <v>5246</v>
      </c>
      <c r="C812" s="200">
        <f>COUNTIF(単語!G:L,単語辞書!A812)</f>
        <v>7</v>
      </c>
      <c r="D812" s="202"/>
      <c r="E812" s="200" t="s">
        <v>1571</v>
      </c>
      <c r="F812" s="79"/>
    </row>
    <row r="813" spans="1:6" ht="13.5">
      <c r="A813" s="203" t="s">
        <v>3363</v>
      </c>
      <c r="B813" s="203" t="s">
        <v>5245</v>
      </c>
      <c r="C813" s="200">
        <f>COUNTIF(単語!G:L,単語辞書!A813)</f>
        <v>2</v>
      </c>
      <c r="D813" s="202"/>
      <c r="E813" s="200" t="s">
        <v>1571</v>
      </c>
      <c r="F813" s="79"/>
    </row>
    <row r="814" spans="1:6" ht="13.5">
      <c r="A814" s="203" t="s">
        <v>3954</v>
      </c>
      <c r="B814" s="203" t="s">
        <v>5244</v>
      </c>
      <c r="C814" s="200">
        <f>COUNTIF(単語!G:L,単語辞書!A814)</f>
        <v>1</v>
      </c>
      <c r="D814" s="202"/>
      <c r="E814" s="200" t="s">
        <v>1571</v>
      </c>
      <c r="F814" s="79"/>
    </row>
    <row r="815" spans="1:6" ht="13.5">
      <c r="A815" s="203" t="s">
        <v>355</v>
      </c>
      <c r="B815" s="203" t="s">
        <v>5243</v>
      </c>
      <c r="C815" s="200">
        <f>COUNTIF(単語!G:L,単語辞書!A815)</f>
        <v>5</v>
      </c>
      <c r="D815" s="202"/>
      <c r="E815" s="200" t="s">
        <v>1571</v>
      </c>
      <c r="F815" s="79"/>
    </row>
    <row r="816" spans="1:6" ht="13.5">
      <c r="A816" s="203" t="s">
        <v>3689</v>
      </c>
      <c r="B816" s="203" t="s">
        <v>5242</v>
      </c>
      <c r="C816" s="200">
        <f>COUNTIF(単語!G:L,単語辞書!A816)</f>
        <v>1</v>
      </c>
      <c r="D816" s="202"/>
      <c r="E816" s="200" t="s">
        <v>1571</v>
      </c>
      <c r="F816" s="79"/>
    </row>
    <row r="817" spans="1:6" ht="13.5">
      <c r="A817" s="203" t="s">
        <v>3301</v>
      </c>
      <c r="B817" s="203" t="s">
        <v>5241</v>
      </c>
      <c r="C817" s="200">
        <f>COUNTIF(単語!G:L,単語辞書!A817)</f>
        <v>2</v>
      </c>
      <c r="D817" s="202"/>
      <c r="E817" s="200" t="s">
        <v>1571</v>
      </c>
      <c r="F817" s="79"/>
    </row>
    <row r="818" spans="1:6" ht="13.5">
      <c r="A818" s="203" t="s">
        <v>2615</v>
      </c>
      <c r="B818" s="203" t="s">
        <v>5240</v>
      </c>
      <c r="C818" s="200">
        <f>COUNTIF(単語!G:L,単語辞書!A818)</f>
        <v>1</v>
      </c>
      <c r="D818" s="202"/>
      <c r="E818" s="200" t="s">
        <v>1571</v>
      </c>
      <c r="F818" s="79"/>
    </row>
    <row r="819" spans="1:6" ht="13.5">
      <c r="A819" s="203" t="s">
        <v>4072</v>
      </c>
      <c r="B819" s="203" t="s">
        <v>5239</v>
      </c>
      <c r="C819" s="200">
        <f>COUNTIF(単語!G:L,単語辞書!A819)</f>
        <v>1</v>
      </c>
      <c r="D819" s="202"/>
      <c r="E819" s="200" t="s">
        <v>1571</v>
      </c>
      <c r="F819" s="79"/>
    </row>
    <row r="820" spans="1:6" ht="13.5">
      <c r="A820" s="203" t="s">
        <v>3390</v>
      </c>
      <c r="B820" s="203" t="s">
        <v>5238</v>
      </c>
      <c r="C820" s="200">
        <f>COUNTIF(単語!G:L,単語辞書!A820)</f>
        <v>1</v>
      </c>
      <c r="D820" s="202"/>
      <c r="E820" s="200" t="s">
        <v>1571</v>
      </c>
      <c r="F820" s="79"/>
    </row>
    <row r="821" spans="1:6" ht="13.5">
      <c r="A821" s="203" t="s">
        <v>2455</v>
      </c>
      <c r="B821" s="203" t="s">
        <v>5237</v>
      </c>
      <c r="C821" s="200">
        <f>COUNTIF(単語!G:L,単語辞書!A821)</f>
        <v>9</v>
      </c>
      <c r="D821" s="202"/>
      <c r="E821" s="200" t="s">
        <v>1571</v>
      </c>
      <c r="F821" s="79"/>
    </row>
    <row r="822" spans="1:6" ht="13.5">
      <c r="A822" s="203" t="s">
        <v>2236</v>
      </c>
      <c r="B822" s="203" t="s">
        <v>5236</v>
      </c>
      <c r="C822" s="200">
        <f>COUNTIF(単語!G:L,単語辞書!A822)</f>
        <v>11</v>
      </c>
      <c r="D822" s="202"/>
      <c r="E822" s="200" t="s">
        <v>1571</v>
      </c>
      <c r="F822" s="79"/>
    </row>
    <row r="823" spans="1:6" ht="13.5">
      <c r="A823" s="203" t="s">
        <v>2572</v>
      </c>
      <c r="B823" s="203" t="s">
        <v>5235</v>
      </c>
      <c r="C823" s="200">
        <f>COUNTIF(単語!G:L,単語辞書!A823)</f>
        <v>7</v>
      </c>
      <c r="D823" s="202"/>
      <c r="E823" s="200" t="s">
        <v>1571</v>
      </c>
      <c r="F823" s="79"/>
    </row>
    <row r="824" spans="1:6" ht="13.5">
      <c r="A824" s="203" t="s">
        <v>3388</v>
      </c>
      <c r="B824" s="203" t="s">
        <v>5234</v>
      </c>
      <c r="C824" s="200">
        <f>COUNTIF(単語!G:L,単語辞書!A824)</f>
        <v>1</v>
      </c>
      <c r="D824" s="202"/>
      <c r="E824" s="200" t="s">
        <v>1571</v>
      </c>
      <c r="F824" s="79"/>
    </row>
    <row r="825" spans="1:6" ht="13.5">
      <c r="A825" s="203" t="s">
        <v>2513</v>
      </c>
      <c r="B825" s="203" t="s">
        <v>5233</v>
      </c>
      <c r="C825" s="200">
        <f>COUNTIF(単語!G:L,単語辞書!A825)</f>
        <v>5</v>
      </c>
      <c r="D825" s="202"/>
      <c r="E825" s="200" t="s">
        <v>1571</v>
      </c>
      <c r="F825" s="79"/>
    </row>
    <row r="826" spans="1:6" ht="13.5">
      <c r="A826" s="203" t="s">
        <v>2568</v>
      </c>
      <c r="B826" s="203" t="s">
        <v>5232</v>
      </c>
      <c r="C826" s="200">
        <f>COUNTIF(単語!G:L,単語辞書!A826)</f>
        <v>1</v>
      </c>
      <c r="D826" s="202"/>
      <c r="E826" s="200" t="s">
        <v>1571</v>
      </c>
      <c r="F826" s="79"/>
    </row>
    <row r="827" spans="1:6" ht="13.5">
      <c r="A827" s="203" t="s">
        <v>843</v>
      </c>
      <c r="B827" s="210" t="s">
        <v>5231</v>
      </c>
      <c r="C827" s="200">
        <f>COUNTIF(単語!G:L,単語辞書!A827)</f>
        <v>35</v>
      </c>
      <c r="D827" s="202"/>
      <c r="E827" s="200" t="s">
        <v>1571</v>
      </c>
      <c r="F827" s="79"/>
    </row>
    <row r="828" spans="1:6" ht="13.5">
      <c r="A828" s="203" t="s">
        <v>2411</v>
      </c>
      <c r="B828" s="203" t="s">
        <v>5230</v>
      </c>
      <c r="C828" s="200">
        <f>COUNTIF(単語!G:L,単語辞書!A828)</f>
        <v>8</v>
      </c>
      <c r="D828" s="202"/>
      <c r="E828" s="200" t="s">
        <v>1571</v>
      </c>
      <c r="F828" s="79"/>
    </row>
    <row r="829" spans="1:6" ht="13.5">
      <c r="A829" s="203" t="s">
        <v>5229</v>
      </c>
      <c r="B829" s="203" t="s">
        <v>5228</v>
      </c>
      <c r="C829" s="200">
        <f>COUNTIF(単語!G:L,単語辞書!A829)</f>
        <v>0</v>
      </c>
      <c r="D829" s="202"/>
      <c r="E829" s="200" t="s">
        <v>1571</v>
      </c>
      <c r="F829" s="79"/>
    </row>
    <row r="830" spans="1:6" ht="13.5">
      <c r="A830" s="203" t="s">
        <v>5227</v>
      </c>
      <c r="B830" s="203" t="s">
        <v>5226</v>
      </c>
      <c r="C830" s="200">
        <f>COUNTIF(単語!G:L,単語辞書!A830)</f>
        <v>0</v>
      </c>
      <c r="D830" s="202"/>
      <c r="E830" s="200" t="s">
        <v>1571</v>
      </c>
      <c r="F830" s="79"/>
    </row>
    <row r="831" spans="1:6" ht="13.5">
      <c r="A831" s="203" t="s">
        <v>5225</v>
      </c>
      <c r="B831" s="203" t="s">
        <v>5224</v>
      </c>
      <c r="C831" s="200">
        <f>COUNTIF(単語!G:L,単語辞書!A831)</f>
        <v>0</v>
      </c>
      <c r="D831" s="202"/>
      <c r="E831" s="200" t="s">
        <v>1571</v>
      </c>
      <c r="F831" s="79"/>
    </row>
    <row r="832" spans="1:6" ht="13.5">
      <c r="A832" s="203" t="s">
        <v>5223</v>
      </c>
      <c r="B832" s="203" t="s">
        <v>5222</v>
      </c>
      <c r="C832" s="200">
        <f>COUNTIF(単語!G:L,単語辞書!A832)</f>
        <v>0</v>
      </c>
      <c r="D832" s="202"/>
      <c r="E832" s="200" t="s">
        <v>1571</v>
      </c>
      <c r="F832" s="79"/>
    </row>
    <row r="833" spans="1:6" ht="13.5">
      <c r="A833" s="203" t="s">
        <v>5221</v>
      </c>
      <c r="B833" s="203" t="s">
        <v>5220</v>
      </c>
      <c r="C833" s="200">
        <f>COUNTIF(単語!G:L,単語辞書!A833)</f>
        <v>0</v>
      </c>
      <c r="D833" s="202"/>
      <c r="E833" s="200" t="s">
        <v>1571</v>
      </c>
      <c r="F833" s="79"/>
    </row>
    <row r="834" spans="1:6" ht="13.5">
      <c r="A834" s="203" t="s">
        <v>5219</v>
      </c>
      <c r="B834" s="203" t="s">
        <v>5218</v>
      </c>
      <c r="C834" s="200">
        <f>COUNTIF(単語!G:L,単語辞書!A834)</f>
        <v>0</v>
      </c>
      <c r="D834" s="202"/>
      <c r="E834" s="200" t="s">
        <v>1571</v>
      </c>
      <c r="F834" s="79"/>
    </row>
    <row r="835" spans="1:6" ht="13.5">
      <c r="A835" s="203" t="s">
        <v>5217</v>
      </c>
      <c r="B835" s="203" t="s">
        <v>5216</v>
      </c>
      <c r="C835" s="200">
        <f>COUNTIF(単語!G:L,単語辞書!A835)</f>
        <v>1</v>
      </c>
      <c r="D835" s="202"/>
      <c r="E835" s="200" t="s">
        <v>1571</v>
      </c>
      <c r="F835" s="79"/>
    </row>
    <row r="836" spans="1:6" ht="13.5">
      <c r="A836" s="203" t="s">
        <v>4068</v>
      </c>
      <c r="B836" s="203" t="s">
        <v>5215</v>
      </c>
      <c r="C836" s="200">
        <f>COUNTIF(単語!G:L,単語辞書!A836)</f>
        <v>5</v>
      </c>
      <c r="D836" s="202"/>
      <c r="E836" s="200" t="s">
        <v>1571</v>
      </c>
      <c r="F836" s="79"/>
    </row>
    <row r="837" spans="1:6" ht="13.5">
      <c r="A837" s="203" t="s">
        <v>3508</v>
      </c>
      <c r="B837" s="203" t="s">
        <v>5214</v>
      </c>
      <c r="C837" s="200">
        <f>COUNTIF(単語!G:L,単語辞書!A837)</f>
        <v>1</v>
      </c>
      <c r="D837" s="202"/>
      <c r="E837" s="200" t="s">
        <v>1571</v>
      </c>
      <c r="F837" s="79"/>
    </row>
    <row r="838" spans="1:6" ht="13.5">
      <c r="A838" s="203" t="s">
        <v>324</v>
      </c>
      <c r="B838" s="203" t="s">
        <v>5213</v>
      </c>
      <c r="C838" s="200">
        <f>COUNTIF(単語!G:L,単語辞書!A838)</f>
        <v>4</v>
      </c>
      <c r="D838" s="202"/>
      <c r="E838" s="200" t="s">
        <v>1571</v>
      </c>
      <c r="F838" s="79"/>
    </row>
    <row r="839" spans="1:6" ht="13.5">
      <c r="A839" s="203" t="s">
        <v>2924</v>
      </c>
      <c r="B839" s="203" t="s">
        <v>5212</v>
      </c>
      <c r="C839" s="200">
        <f>COUNTIF(単語!G:L,単語辞書!A839)</f>
        <v>1</v>
      </c>
      <c r="D839" s="202"/>
      <c r="E839" s="200" t="s">
        <v>1571</v>
      </c>
      <c r="F839" s="79"/>
    </row>
    <row r="840" spans="1:6" ht="13.5">
      <c r="A840" s="203" t="s">
        <v>2921</v>
      </c>
      <c r="B840" s="203" t="s">
        <v>5211</v>
      </c>
      <c r="C840" s="200">
        <f>COUNTIF(単語!G:L,単語辞書!A840)</f>
        <v>1</v>
      </c>
      <c r="D840" s="202"/>
      <c r="E840" s="200" t="s">
        <v>1571</v>
      </c>
      <c r="F840" s="79"/>
    </row>
    <row r="841" spans="1:6" ht="13.5">
      <c r="A841" s="203" t="s">
        <v>415</v>
      </c>
      <c r="B841" s="203" t="s">
        <v>5210</v>
      </c>
      <c r="C841" s="200">
        <f>COUNTIF(単語!G:L,単語辞書!A841)</f>
        <v>8</v>
      </c>
      <c r="D841" s="202"/>
      <c r="E841" s="200" t="s">
        <v>1571</v>
      </c>
      <c r="F841" s="79"/>
    </row>
    <row r="842" spans="1:6" ht="13.5">
      <c r="A842" s="203" t="s">
        <v>2560</v>
      </c>
      <c r="B842" s="203" t="s">
        <v>5209</v>
      </c>
      <c r="C842" s="200">
        <f>COUNTIF(単語!G:L,単語辞書!A842)</f>
        <v>1</v>
      </c>
      <c r="D842" s="202"/>
      <c r="E842" s="200" t="s">
        <v>1571</v>
      </c>
      <c r="F842" s="79"/>
    </row>
    <row r="843" spans="1:6" ht="13.5">
      <c r="A843" s="203" t="s">
        <v>2558</v>
      </c>
      <c r="B843" s="203" t="s">
        <v>5208</v>
      </c>
      <c r="C843" s="200">
        <f>COUNTIF(単語!G:L,単語辞書!A843)</f>
        <v>2</v>
      </c>
      <c r="D843" s="202"/>
      <c r="E843" s="200" t="s">
        <v>1571</v>
      </c>
      <c r="F843" s="79"/>
    </row>
    <row r="844" spans="1:6" ht="13.5">
      <c r="A844" s="203" t="s">
        <v>2846</v>
      </c>
      <c r="B844" s="203" t="s">
        <v>5207</v>
      </c>
      <c r="C844" s="200">
        <f>COUNTIF(単語!G:L,単語辞書!A844)</f>
        <v>2</v>
      </c>
      <c r="D844" s="202"/>
      <c r="E844" s="200" t="s">
        <v>1571</v>
      </c>
      <c r="F844" s="79"/>
    </row>
    <row r="845" spans="1:6" ht="13.5">
      <c r="A845" s="203" t="s">
        <v>2552</v>
      </c>
      <c r="B845" s="203" t="s">
        <v>5206</v>
      </c>
      <c r="C845" s="200">
        <f>COUNTIF(単語!G:L,単語辞書!A845)</f>
        <v>5</v>
      </c>
      <c r="D845" s="202"/>
      <c r="E845" s="200" t="s">
        <v>1571</v>
      </c>
      <c r="F845" s="79"/>
    </row>
    <row r="846" spans="1:6" ht="13.5">
      <c r="A846" s="203" t="s">
        <v>2948</v>
      </c>
      <c r="B846" s="203" t="s">
        <v>5205</v>
      </c>
      <c r="C846" s="200">
        <f>COUNTIF(単語!G:L,単語辞書!A846)</f>
        <v>1</v>
      </c>
      <c r="D846" s="202"/>
      <c r="E846" s="200" t="s">
        <v>1571</v>
      </c>
      <c r="F846" s="79"/>
    </row>
    <row r="847" spans="1:6" ht="13.5">
      <c r="A847" s="203" t="s">
        <v>2549</v>
      </c>
      <c r="B847" s="203" t="s">
        <v>5204</v>
      </c>
      <c r="C847" s="200">
        <f>COUNTIF(単語!G:L,単語辞書!A847)</f>
        <v>1</v>
      </c>
      <c r="D847" s="202"/>
      <c r="E847" s="200" t="s">
        <v>1571</v>
      </c>
      <c r="F847" s="79"/>
    </row>
    <row r="848" spans="1:6" ht="13.5">
      <c r="A848" s="203" t="s">
        <v>349</v>
      </c>
      <c r="B848" s="203" t="s">
        <v>5203</v>
      </c>
      <c r="C848" s="200">
        <f>COUNTIF(単語!G:L,単語辞書!A848)</f>
        <v>28</v>
      </c>
      <c r="D848" s="202"/>
      <c r="E848" s="200" t="s">
        <v>1571</v>
      </c>
      <c r="F848" s="79"/>
    </row>
    <row r="849" spans="1:6" ht="13.5">
      <c r="A849" s="203" t="s">
        <v>98</v>
      </c>
      <c r="B849" s="203" t="s">
        <v>5202</v>
      </c>
      <c r="C849" s="200">
        <f>COUNTIF(単語!G:L,単語辞書!A849)</f>
        <v>12</v>
      </c>
      <c r="D849" s="202"/>
      <c r="E849" s="200" t="s">
        <v>1571</v>
      </c>
      <c r="F849" s="79"/>
    </row>
    <row r="850" spans="1:6" ht="13.5">
      <c r="A850" s="203" t="s">
        <v>3630</v>
      </c>
      <c r="B850" s="203" t="s">
        <v>5201</v>
      </c>
      <c r="C850" s="200">
        <f>COUNTIF(単語!G:L,単語辞書!A850)</f>
        <v>2</v>
      </c>
      <c r="D850" s="202"/>
      <c r="E850" s="200" t="s">
        <v>1571</v>
      </c>
      <c r="F850" s="79"/>
    </row>
    <row r="851" spans="1:6" ht="13.5">
      <c r="A851" s="203" t="s">
        <v>2538</v>
      </c>
      <c r="B851" s="203" t="s">
        <v>5200</v>
      </c>
      <c r="C851" s="200">
        <f>COUNTIF(単語!G:L,単語辞書!A851)</f>
        <v>1</v>
      </c>
      <c r="D851" s="202"/>
      <c r="E851" s="200" t="s">
        <v>1571</v>
      </c>
      <c r="F851" s="79"/>
    </row>
    <row r="852" spans="1:6" ht="13.5">
      <c r="A852" s="203" t="s">
        <v>3212</v>
      </c>
      <c r="B852" s="203" t="s">
        <v>5199</v>
      </c>
      <c r="C852" s="200">
        <f>COUNTIF(単語!G:L,単語辞書!A852)</f>
        <v>1</v>
      </c>
      <c r="D852" s="202"/>
      <c r="E852" s="200" t="s">
        <v>1571</v>
      </c>
      <c r="F852" s="79"/>
    </row>
    <row r="853" spans="1:6" ht="13.5">
      <c r="A853" s="203" t="s">
        <v>2537</v>
      </c>
      <c r="B853" s="203" t="s">
        <v>5198</v>
      </c>
      <c r="C853" s="200">
        <f>COUNTIF(単語!G:L,単語辞書!A853)</f>
        <v>1</v>
      </c>
      <c r="D853" s="202"/>
      <c r="E853" s="200" t="s">
        <v>1571</v>
      </c>
      <c r="F853" s="79"/>
    </row>
    <row r="854" spans="1:6" ht="13.5">
      <c r="A854" s="203" t="s">
        <v>4080</v>
      </c>
      <c r="B854" s="203" t="s">
        <v>5197</v>
      </c>
      <c r="C854" s="200">
        <f>COUNTIF(単語!G:L,単語辞書!A854)</f>
        <v>1</v>
      </c>
      <c r="D854" s="202"/>
      <c r="E854" s="200" t="s">
        <v>1571</v>
      </c>
      <c r="F854" s="79"/>
    </row>
    <row r="855" spans="1:6" ht="13.5">
      <c r="A855" s="203" t="s">
        <v>2525</v>
      </c>
      <c r="B855" s="203" t="s">
        <v>5196</v>
      </c>
      <c r="C855" s="200">
        <f>COUNTIF(単語!G:L,単語辞書!A855)</f>
        <v>10</v>
      </c>
      <c r="D855" s="202"/>
      <c r="E855" s="200" t="s">
        <v>1571</v>
      </c>
      <c r="F855" s="79"/>
    </row>
    <row r="856" spans="1:6" ht="13.5">
      <c r="A856" s="203" t="s">
        <v>2536</v>
      </c>
      <c r="B856" s="203" t="s">
        <v>5195</v>
      </c>
      <c r="C856" s="200">
        <f>COUNTIF(単語!G:L,単語辞書!A856)</f>
        <v>1</v>
      </c>
      <c r="D856" s="202"/>
      <c r="E856" s="200" t="s">
        <v>1571</v>
      </c>
      <c r="F856" s="79"/>
    </row>
    <row r="857" spans="1:6" ht="13.5">
      <c r="A857" s="203" t="s">
        <v>2534</v>
      </c>
      <c r="B857" s="203" t="s">
        <v>5194</v>
      </c>
      <c r="C857" s="200">
        <f>COUNTIF(単語!G:L,単語辞書!A857)</f>
        <v>1</v>
      </c>
      <c r="D857" s="202"/>
      <c r="E857" s="200" t="s">
        <v>1571</v>
      </c>
      <c r="F857" s="79"/>
    </row>
    <row r="858" spans="1:6" ht="13.5">
      <c r="A858" s="203" t="s">
        <v>2531</v>
      </c>
      <c r="B858" s="203" t="s">
        <v>5193</v>
      </c>
      <c r="C858" s="200">
        <f>COUNTIF(単語!G:L,単語辞書!A858)</f>
        <v>1</v>
      </c>
      <c r="D858" s="202"/>
      <c r="E858" s="200" t="s">
        <v>1571</v>
      </c>
      <c r="F858" s="79"/>
    </row>
    <row r="859" spans="1:6" ht="13.5">
      <c r="A859" s="203" t="s">
        <v>2529</v>
      </c>
      <c r="B859" s="203" t="s">
        <v>5192</v>
      </c>
      <c r="C859" s="200">
        <f>COUNTIF(単語!G:L,単語辞書!A859)</f>
        <v>1</v>
      </c>
      <c r="D859" s="202"/>
      <c r="E859" s="200" t="s">
        <v>1571</v>
      </c>
      <c r="F859" s="79"/>
    </row>
    <row r="860" spans="1:6" ht="13.5">
      <c r="A860" s="203" t="s">
        <v>104</v>
      </c>
      <c r="B860" s="203" t="s">
        <v>5191</v>
      </c>
      <c r="C860" s="200">
        <f>COUNTIF(単語!G:L,単語辞書!A860)</f>
        <v>8</v>
      </c>
      <c r="D860" s="202"/>
      <c r="E860" s="200" t="s">
        <v>1571</v>
      </c>
      <c r="F860" s="79"/>
    </row>
    <row r="861" spans="1:6" ht="13.5">
      <c r="A861" s="203" t="s">
        <v>5190</v>
      </c>
      <c r="B861" s="203" t="s">
        <v>5189</v>
      </c>
      <c r="C861" s="200">
        <f>COUNTIF(単語!G:L,単語辞書!A861)</f>
        <v>1</v>
      </c>
      <c r="D861" s="202"/>
      <c r="E861" s="200" t="s">
        <v>1571</v>
      </c>
      <c r="F861" s="79"/>
    </row>
    <row r="862" spans="1:6" ht="13.5">
      <c r="A862" s="203" t="s">
        <v>100</v>
      </c>
      <c r="B862" s="203" t="s">
        <v>5188</v>
      </c>
      <c r="C862" s="200">
        <f>COUNTIF(単語!G:L,単語辞書!A862)</f>
        <v>4</v>
      </c>
      <c r="D862" s="202"/>
      <c r="E862" s="200" t="s">
        <v>1571</v>
      </c>
      <c r="F862" s="79"/>
    </row>
    <row r="863" spans="1:6" ht="13.5">
      <c r="A863" s="203" t="s">
        <v>3386</v>
      </c>
      <c r="B863" s="203" t="s">
        <v>5187</v>
      </c>
      <c r="C863" s="200">
        <f>COUNTIF(単語!G:L,単語辞書!A863)</f>
        <v>1</v>
      </c>
      <c r="D863" s="202"/>
      <c r="E863" s="200" t="s">
        <v>1571</v>
      </c>
      <c r="F863" s="79"/>
    </row>
    <row r="864" spans="1:6" ht="13.5">
      <c r="A864" s="203" t="s">
        <v>2520</v>
      </c>
      <c r="B864" s="203" t="s">
        <v>5186</v>
      </c>
      <c r="C864" s="200">
        <f>COUNTIF(単語!G:L,単語辞書!A864)</f>
        <v>1</v>
      </c>
      <c r="D864" s="202"/>
      <c r="E864" s="200" t="s">
        <v>1571</v>
      </c>
      <c r="F864" s="79"/>
    </row>
    <row r="865" spans="1:6" ht="13.5">
      <c r="A865" s="203" t="s">
        <v>2443</v>
      </c>
      <c r="B865" s="203" t="s">
        <v>5185</v>
      </c>
      <c r="C865" s="200">
        <f>COUNTIF(単語!G:L,単語辞書!A865)</f>
        <v>8</v>
      </c>
      <c r="D865" s="202"/>
      <c r="E865" s="200" t="s">
        <v>1571</v>
      </c>
      <c r="F865" s="79"/>
    </row>
    <row r="866" spans="1:6" ht="13.5">
      <c r="A866" s="203" t="s">
        <v>2495</v>
      </c>
      <c r="B866" s="203" t="s">
        <v>5184</v>
      </c>
      <c r="C866" s="200">
        <f>COUNTIF(単語!G:L,単語辞書!A866)</f>
        <v>9</v>
      </c>
      <c r="D866" s="202" t="s">
        <v>5183</v>
      </c>
      <c r="E866" s="200" t="s">
        <v>1571</v>
      </c>
      <c r="F866" s="79"/>
    </row>
    <row r="867" spans="1:6" ht="13.5">
      <c r="A867" s="203" t="s">
        <v>725</v>
      </c>
      <c r="B867" s="203" t="s">
        <v>5182</v>
      </c>
      <c r="C867" s="200">
        <f>COUNTIF(単語!G:L,単語辞書!A867)</f>
        <v>18</v>
      </c>
      <c r="D867" s="202" t="s">
        <v>5181</v>
      </c>
      <c r="E867" s="200" t="s">
        <v>1571</v>
      </c>
      <c r="F867" s="79"/>
    </row>
    <row r="868" spans="1:6" ht="13.5">
      <c r="A868" s="203" t="s">
        <v>4037</v>
      </c>
      <c r="B868" s="203" t="s">
        <v>5180</v>
      </c>
      <c r="C868" s="200">
        <f>COUNTIF(単語!G:L,単語辞書!A868)</f>
        <v>2</v>
      </c>
      <c r="D868" s="202"/>
      <c r="E868" s="200" t="s">
        <v>1571</v>
      </c>
      <c r="F868" s="79"/>
    </row>
    <row r="869" spans="1:6" ht="13.5">
      <c r="A869" s="203" t="s">
        <v>5179</v>
      </c>
      <c r="B869" s="203" t="s">
        <v>5178</v>
      </c>
      <c r="C869" s="200">
        <f>COUNTIF(単語!G:L,単語辞書!A869)</f>
        <v>2</v>
      </c>
      <c r="D869" s="202"/>
      <c r="E869" s="200" t="s">
        <v>1571</v>
      </c>
      <c r="F869" s="79"/>
    </row>
    <row r="870" spans="1:6" ht="13.5">
      <c r="A870" s="203" t="s">
        <v>2514</v>
      </c>
      <c r="B870" s="203" t="s">
        <v>5177</v>
      </c>
      <c r="C870" s="200">
        <f>COUNTIF(単語!G:L,単語辞書!A870)</f>
        <v>2</v>
      </c>
      <c r="D870" s="202"/>
      <c r="E870" s="200" t="s">
        <v>1571</v>
      </c>
      <c r="F870" s="79"/>
    </row>
    <row r="871" spans="1:6" ht="13.5">
      <c r="A871" s="203" t="s">
        <v>3461</v>
      </c>
      <c r="B871" s="203" t="s">
        <v>5176</v>
      </c>
      <c r="C871" s="200">
        <f>COUNTIF(単語!G:L,単語辞書!A871)</f>
        <v>2</v>
      </c>
      <c r="D871" s="202"/>
      <c r="E871" s="200" t="s">
        <v>1571</v>
      </c>
      <c r="F871" s="79"/>
    </row>
    <row r="872" spans="1:6" ht="13.5">
      <c r="A872" s="203" t="s">
        <v>3758</v>
      </c>
      <c r="B872" s="203" t="s">
        <v>5175</v>
      </c>
      <c r="C872" s="200">
        <f>COUNTIF(単語!G:L,単語辞書!A872)</f>
        <v>1</v>
      </c>
      <c r="D872" s="202"/>
      <c r="E872" s="200" t="s">
        <v>1571</v>
      </c>
      <c r="F872" s="79"/>
    </row>
    <row r="873" spans="1:6" ht="13.5">
      <c r="A873" s="203" t="s">
        <v>4033</v>
      </c>
      <c r="B873" s="203" t="s">
        <v>5174</v>
      </c>
      <c r="C873" s="200">
        <f>COUNTIF(単語!G:L,単語辞書!A873)</f>
        <v>2</v>
      </c>
      <c r="D873" s="202"/>
      <c r="E873" s="200" t="s">
        <v>1571</v>
      </c>
      <c r="F873" s="79"/>
    </row>
    <row r="874" spans="1:6" ht="13.5">
      <c r="A874" s="203" t="s">
        <v>4625</v>
      </c>
      <c r="B874" s="203" t="s">
        <v>5173</v>
      </c>
      <c r="C874" s="200">
        <f>COUNTIF(単語!G:L,単語辞書!A874)</f>
        <v>3</v>
      </c>
      <c r="D874" s="202" t="s">
        <v>5172</v>
      </c>
      <c r="E874" s="200" t="s">
        <v>1571</v>
      </c>
      <c r="F874" s="79"/>
    </row>
    <row r="875" spans="1:6" ht="13.5">
      <c r="A875" s="203" t="s">
        <v>659</v>
      </c>
      <c r="B875" s="210" t="s">
        <v>5171</v>
      </c>
      <c r="C875" s="200">
        <f>COUNTIF(単語!G:L,単語辞書!A875)</f>
        <v>16</v>
      </c>
      <c r="D875" s="202"/>
      <c r="E875" s="200" t="s">
        <v>1571</v>
      </c>
      <c r="F875" s="79"/>
    </row>
    <row r="876" spans="1:6" ht="13.5">
      <c r="A876" s="203" t="s">
        <v>2506</v>
      </c>
      <c r="B876" s="203" t="s">
        <v>5170</v>
      </c>
      <c r="C876" s="200">
        <f>COUNTIF(単語!G:L,単語辞書!A876)</f>
        <v>6</v>
      </c>
      <c r="D876" s="202"/>
      <c r="E876" s="200" t="s">
        <v>1571</v>
      </c>
      <c r="F876" s="79"/>
    </row>
    <row r="877" spans="1:6" ht="13.5">
      <c r="A877" s="203" t="s">
        <v>2732</v>
      </c>
      <c r="B877" s="203" t="s">
        <v>5169</v>
      </c>
      <c r="C877" s="200">
        <f>COUNTIF(単語!G:L,単語辞書!A877)</f>
        <v>1</v>
      </c>
      <c r="D877" s="202"/>
      <c r="E877" s="200" t="s">
        <v>1571</v>
      </c>
      <c r="F877" s="79"/>
    </row>
    <row r="878" spans="1:6" ht="13.5">
      <c r="A878" s="203" t="s">
        <v>3100</v>
      </c>
      <c r="B878" s="203" t="s">
        <v>5168</v>
      </c>
      <c r="C878" s="200">
        <f>COUNTIF(単語!G:L,単語辞書!A878)</f>
        <v>2</v>
      </c>
      <c r="D878" s="202"/>
      <c r="E878" s="200" t="s">
        <v>1571</v>
      </c>
      <c r="F878" s="79"/>
    </row>
    <row r="879" spans="1:6" ht="13.5">
      <c r="A879" s="203" t="s">
        <v>5167</v>
      </c>
      <c r="B879" s="203" t="s">
        <v>5166</v>
      </c>
      <c r="C879" s="200">
        <f>COUNTIF(単語!G:L,単語辞書!A879)</f>
        <v>0</v>
      </c>
      <c r="D879" s="202"/>
      <c r="E879" s="200" t="s">
        <v>1571</v>
      </c>
      <c r="F879" s="79"/>
    </row>
    <row r="880" spans="1:6" ht="13.5">
      <c r="A880" s="203" t="s">
        <v>101</v>
      </c>
      <c r="B880" s="203" t="s">
        <v>5165</v>
      </c>
      <c r="C880" s="200">
        <f>COUNTIF(単語!G:L,単語辞書!A880)</f>
        <v>3</v>
      </c>
      <c r="D880" s="202"/>
      <c r="E880" s="200" t="s">
        <v>1571</v>
      </c>
      <c r="F880" s="79"/>
    </row>
    <row r="881" spans="1:6" ht="13.5">
      <c r="A881" s="203" t="s">
        <v>360</v>
      </c>
      <c r="B881" s="203" t="s">
        <v>5164</v>
      </c>
      <c r="C881" s="200">
        <f>COUNTIF(単語!G:L,単語辞書!A881)</f>
        <v>48</v>
      </c>
      <c r="D881" s="202"/>
      <c r="E881" s="200" t="s">
        <v>1571</v>
      </c>
      <c r="F881" s="79"/>
    </row>
    <row r="882" spans="1:6" ht="13.5">
      <c r="A882" s="203" t="s">
        <v>3904</v>
      </c>
      <c r="B882" s="203" t="s">
        <v>5163</v>
      </c>
      <c r="C882" s="200">
        <f>COUNTIF(単語!G:L,単語辞書!A882)</f>
        <v>3</v>
      </c>
      <c r="D882" s="202"/>
      <c r="E882" s="200" t="s">
        <v>1571</v>
      </c>
      <c r="F882" s="79"/>
    </row>
    <row r="883" spans="1:6" ht="13.5">
      <c r="A883" s="203" t="s">
        <v>97</v>
      </c>
      <c r="B883" s="203" t="s">
        <v>5162</v>
      </c>
      <c r="C883" s="200">
        <f>COUNTIF(単語!G:L,単語辞書!A883)</f>
        <v>5</v>
      </c>
      <c r="D883" s="202"/>
      <c r="E883" s="200" t="s">
        <v>1571</v>
      </c>
      <c r="F883" s="79"/>
    </row>
    <row r="884" spans="1:6" ht="13.5">
      <c r="A884" s="203" t="s">
        <v>5161</v>
      </c>
      <c r="B884" s="203" t="s">
        <v>5160</v>
      </c>
      <c r="C884" s="200">
        <f>COUNTIF(単語!G:L,単語辞書!A884)</f>
        <v>0</v>
      </c>
      <c r="D884" s="202"/>
      <c r="E884" s="200" t="s">
        <v>1571</v>
      </c>
      <c r="F884" s="79"/>
    </row>
    <row r="885" spans="1:6" ht="13.5">
      <c r="A885" s="203" t="s">
        <v>2700</v>
      </c>
      <c r="B885" s="203" t="s">
        <v>5158</v>
      </c>
      <c r="C885" s="200">
        <f>COUNTIF(単語!G:L,単語辞書!A885)</f>
        <v>2</v>
      </c>
      <c r="D885" s="202"/>
      <c r="E885" s="200" t="s">
        <v>1571</v>
      </c>
      <c r="F885" s="79"/>
    </row>
    <row r="886" spans="1:6" ht="13.5">
      <c r="A886" s="203" t="s">
        <v>4090</v>
      </c>
      <c r="B886" s="203" t="s">
        <v>5159</v>
      </c>
      <c r="C886" s="200">
        <f>COUNTIF(単語!G:L,単語辞書!A886)</f>
        <v>1</v>
      </c>
      <c r="D886" s="202"/>
      <c r="E886" s="200" t="s">
        <v>1571</v>
      </c>
      <c r="F886" s="79"/>
    </row>
    <row r="887" spans="1:6" ht="13.5">
      <c r="A887" s="203" t="s">
        <v>815</v>
      </c>
      <c r="B887" s="203" t="s">
        <v>5158</v>
      </c>
      <c r="C887" s="200">
        <f>COUNTIF(単語!G:L,単語辞書!A887)</f>
        <v>49</v>
      </c>
      <c r="D887" s="202"/>
      <c r="E887" s="200" t="s">
        <v>1571</v>
      </c>
      <c r="F887" s="79"/>
    </row>
    <row r="888" spans="1:6" ht="13.5">
      <c r="A888" s="203" t="s">
        <v>3538</v>
      </c>
      <c r="B888" s="203" t="s">
        <v>5157</v>
      </c>
      <c r="C888" s="200">
        <f>COUNTIF(単語!G:L,単語辞書!A888)</f>
        <v>4</v>
      </c>
      <c r="D888" s="202"/>
      <c r="E888" s="200" t="s">
        <v>1571</v>
      </c>
      <c r="F888" s="79"/>
    </row>
    <row r="889" spans="1:6" ht="13.5">
      <c r="A889" s="203" t="s">
        <v>2476</v>
      </c>
      <c r="B889" s="203" t="s">
        <v>5156</v>
      </c>
      <c r="C889" s="200">
        <f>COUNTIF(単語!G:L,単語辞書!A889)</f>
        <v>1</v>
      </c>
      <c r="D889" s="202"/>
      <c r="E889" s="200" t="s">
        <v>1571</v>
      </c>
      <c r="F889" s="79"/>
    </row>
    <row r="890" spans="1:6" ht="13.5">
      <c r="A890" s="203" t="s">
        <v>4189</v>
      </c>
      <c r="B890" s="203" t="s">
        <v>5155</v>
      </c>
      <c r="C890" s="200">
        <f>COUNTIF(単語!G:L,単語辞書!A890)</f>
        <v>1</v>
      </c>
      <c r="D890" s="202"/>
      <c r="E890" s="200" t="s">
        <v>1571</v>
      </c>
      <c r="F890" s="79"/>
    </row>
    <row r="891" spans="1:6" ht="13.5">
      <c r="A891" s="203" t="s">
        <v>2472</v>
      </c>
      <c r="B891" s="203" t="s">
        <v>5154</v>
      </c>
      <c r="C891" s="200">
        <f>COUNTIF(単語!G:L,単語辞書!A891)</f>
        <v>1</v>
      </c>
      <c r="D891" s="202"/>
      <c r="E891" s="200" t="s">
        <v>1571</v>
      </c>
      <c r="F891" s="79"/>
    </row>
    <row r="892" spans="1:6" ht="13.5">
      <c r="A892" s="203" t="s">
        <v>2763</v>
      </c>
      <c r="B892" s="203" t="s">
        <v>5153</v>
      </c>
      <c r="C892" s="200">
        <f>COUNTIF(単語!G:L,単語辞書!A892)</f>
        <v>20</v>
      </c>
      <c r="D892" s="202"/>
      <c r="E892" s="200" t="s">
        <v>1571</v>
      </c>
      <c r="F892" s="79"/>
    </row>
    <row r="893" spans="1:6" ht="13.5">
      <c r="A893" s="203" t="s">
        <v>4137</v>
      </c>
      <c r="B893" s="203" t="s">
        <v>5152</v>
      </c>
      <c r="C893" s="200">
        <f>COUNTIF(単語!G:L,単語辞書!A893)</f>
        <v>1</v>
      </c>
      <c r="D893" s="202"/>
      <c r="E893" s="200" t="s">
        <v>1571</v>
      </c>
      <c r="F893" s="79"/>
    </row>
    <row r="894" spans="1:6" ht="13.5">
      <c r="A894" s="203" t="s">
        <v>4002</v>
      </c>
      <c r="B894" s="203" t="s">
        <v>5151</v>
      </c>
      <c r="C894" s="200">
        <f>COUNTIF(単語!G:L,単語辞書!A894)</f>
        <v>1</v>
      </c>
      <c r="D894" s="202"/>
      <c r="E894" s="200" t="s">
        <v>1571</v>
      </c>
      <c r="F894" s="79"/>
    </row>
    <row r="895" spans="1:6" ht="13.5">
      <c r="A895" s="203" t="s">
        <v>882</v>
      </c>
      <c r="B895" s="203" t="s">
        <v>4846</v>
      </c>
      <c r="C895" s="200">
        <f>COUNTIF(単語!G:L,単語辞書!A895)</f>
        <v>39</v>
      </c>
      <c r="D895" s="202"/>
      <c r="E895" s="200" t="s">
        <v>1571</v>
      </c>
      <c r="F895" s="79"/>
    </row>
    <row r="896" spans="1:6" ht="13.5">
      <c r="A896" s="203" t="s">
        <v>5150</v>
      </c>
      <c r="B896" s="203" t="s">
        <v>5149</v>
      </c>
      <c r="C896" s="200">
        <f>COUNTIF(単語!G:L,単語辞書!A896)</f>
        <v>0</v>
      </c>
      <c r="D896" s="202"/>
      <c r="E896" s="200" t="s">
        <v>1571</v>
      </c>
      <c r="F896" s="79"/>
    </row>
    <row r="897" spans="1:6" ht="13.5">
      <c r="A897" s="203" t="s">
        <v>2470</v>
      </c>
      <c r="B897" s="203" t="s">
        <v>5148</v>
      </c>
      <c r="C897" s="200">
        <f>COUNTIF(単語!G:L,単語辞書!A897)</f>
        <v>1</v>
      </c>
      <c r="D897" s="202"/>
      <c r="E897" s="200" t="s">
        <v>1571</v>
      </c>
      <c r="F897" s="79"/>
    </row>
    <row r="898" spans="1:6" ht="13.5">
      <c r="A898" s="203" t="s">
        <v>2456</v>
      </c>
      <c r="B898" s="203" t="s">
        <v>5147</v>
      </c>
      <c r="C898" s="200">
        <f>COUNTIF(単語!G:L,単語辞書!A898)</f>
        <v>1</v>
      </c>
      <c r="D898" s="202"/>
      <c r="E898" s="200" t="s">
        <v>1571</v>
      </c>
      <c r="F898" s="79"/>
    </row>
    <row r="899" spans="1:6" ht="13.5">
      <c r="A899" s="203" t="s">
        <v>5146</v>
      </c>
      <c r="B899" s="203" t="s">
        <v>5145</v>
      </c>
      <c r="C899" s="200">
        <f>COUNTIF(単語!G:L,単語辞書!A899)</f>
        <v>7</v>
      </c>
      <c r="D899" s="202"/>
      <c r="E899" s="200" t="s">
        <v>1571</v>
      </c>
      <c r="F899" s="79"/>
    </row>
    <row r="900" spans="1:6" ht="13.5">
      <c r="A900" s="203" t="s">
        <v>193</v>
      </c>
      <c r="B900" s="203" t="s">
        <v>5144</v>
      </c>
      <c r="C900" s="200">
        <f>COUNTIF(単語!G:L,単語辞書!A900)</f>
        <v>49</v>
      </c>
      <c r="D900" s="202"/>
      <c r="E900" s="200" t="s">
        <v>1571</v>
      </c>
      <c r="F900" s="79"/>
    </row>
    <row r="901" spans="1:6" ht="13.5">
      <c r="A901" s="203" t="s">
        <v>195</v>
      </c>
      <c r="B901" s="203" t="s">
        <v>5143</v>
      </c>
      <c r="C901" s="200">
        <f>COUNTIF(単語!G:L,単語辞書!A901)</f>
        <v>77</v>
      </c>
      <c r="D901" s="202"/>
      <c r="E901" s="200" t="s">
        <v>1571</v>
      </c>
      <c r="F901" s="79"/>
    </row>
    <row r="902" spans="1:6" ht="13.5">
      <c r="A902" s="203" t="s">
        <v>126</v>
      </c>
      <c r="B902" s="203" t="s">
        <v>5142</v>
      </c>
      <c r="C902" s="200">
        <f>COUNTIF(単語!G:L,単語辞書!A902)</f>
        <v>1</v>
      </c>
      <c r="D902" s="202"/>
      <c r="E902" s="200" t="s">
        <v>1571</v>
      </c>
      <c r="F902" s="79"/>
    </row>
    <row r="903" spans="1:6" ht="13.5">
      <c r="A903" s="203" t="s">
        <v>5141</v>
      </c>
      <c r="B903" s="203" t="s">
        <v>5140</v>
      </c>
      <c r="C903" s="200">
        <f>COUNTIF(単語!G:L,単語辞書!A903)</f>
        <v>0</v>
      </c>
      <c r="D903" s="202"/>
      <c r="E903" s="200" t="s">
        <v>1571</v>
      </c>
      <c r="F903" s="79"/>
    </row>
    <row r="904" spans="1:6" ht="13.5">
      <c r="A904" s="203" t="s">
        <v>244</v>
      </c>
      <c r="B904" s="203" t="s">
        <v>5139</v>
      </c>
      <c r="C904" s="200">
        <f>COUNTIF(単語!G:L,単語辞書!A904)</f>
        <v>9</v>
      </c>
      <c r="D904" s="202"/>
      <c r="E904" s="200" t="s">
        <v>1571</v>
      </c>
      <c r="F904" s="79"/>
    </row>
    <row r="905" spans="1:6" ht="13.5">
      <c r="A905" s="203" t="s">
        <v>875</v>
      </c>
      <c r="B905" s="203" t="s">
        <v>5138</v>
      </c>
      <c r="C905" s="200">
        <f>COUNTIF(単語!G:L,単語辞書!A905)</f>
        <v>46</v>
      </c>
      <c r="D905" s="202"/>
      <c r="E905" s="200" t="s">
        <v>1571</v>
      </c>
      <c r="F905" s="79"/>
    </row>
    <row r="906" spans="1:6" ht="13.5">
      <c r="A906" s="203" t="s">
        <v>3311</v>
      </c>
      <c r="B906" s="203" t="s">
        <v>5137</v>
      </c>
      <c r="C906" s="200">
        <f>COUNTIF(単語!G:L,単語辞書!A906)</f>
        <v>1</v>
      </c>
      <c r="D906" s="202"/>
      <c r="E906" s="200" t="s">
        <v>1571</v>
      </c>
      <c r="F906" s="79"/>
    </row>
    <row r="907" spans="1:6" ht="13.5">
      <c r="A907" s="203" t="s">
        <v>2702</v>
      </c>
      <c r="B907" s="203" t="s">
        <v>5136</v>
      </c>
      <c r="C907" s="200">
        <f>COUNTIF(単語!G:L,単語辞書!A907)</f>
        <v>3</v>
      </c>
      <c r="D907" s="202"/>
      <c r="E907" s="200" t="s">
        <v>1571</v>
      </c>
      <c r="F907" s="79"/>
    </row>
    <row r="908" spans="1:6" ht="13.5">
      <c r="A908" s="203" t="s">
        <v>2344</v>
      </c>
      <c r="B908" s="203" t="s">
        <v>5135</v>
      </c>
      <c r="C908" s="200">
        <f>COUNTIF(単語!G:L,単語辞書!A908)</f>
        <v>1</v>
      </c>
      <c r="D908" s="202"/>
      <c r="E908" s="200" t="s">
        <v>1571</v>
      </c>
      <c r="F908" s="79"/>
    </row>
    <row r="909" spans="1:6" ht="13.5">
      <c r="A909" s="203" t="s">
        <v>2343</v>
      </c>
      <c r="B909" s="203" t="s">
        <v>5134</v>
      </c>
      <c r="C909" s="200">
        <f>COUNTIF(単語!G:L,単語辞書!A909)</f>
        <v>1</v>
      </c>
      <c r="D909" s="202"/>
      <c r="E909" s="200" t="s">
        <v>1571</v>
      </c>
      <c r="F909" s="79"/>
    </row>
    <row r="910" spans="1:6" ht="13.5">
      <c r="A910" s="203" t="s">
        <v>5133</v>
      </c>
      <c r="B910" s="203" t="s">
        <v>5132</v>
      </c>
      <c r="C910" s="200">
        <f>COUNTIF(単語!G:L,単語辞書!A910)</f>
        <v>4</v>
      </c>
      <c r="D910" s="202"/>
      <c r="E910" s="200" t="s">
        <v>1571</v>
      </c>
      <c r="F910" s="79"/>
    </row>
    <row r="911" spans="1:6" ht="13.5">
      <c r="A911" s="203" t="s">
        <v>2539</v>
      </c>
      <c r="B911" s="203" t="s">
        <v>5131</v>
      </c>
      <c r="C911" s="200">
        <f>COUNTIF(単語!G:L,単語辞書!A911)</f>
        <v>1</v>
      </c>
      <c r="D911" s="202"/>
      <c r="E911" s="200" t="s">
        <v>1571</v>
      </c>
      <c r="F911" s="79"/>
    </row>
    <row r="912" spans="1:6" ht="13.5">
      <c r="A912" s="203" t="s">
        <v>5130</v>
      </c>
      <c r="B912" s="203" t="s">
        <v>5129</v>
      </c>
      <c r="C912" s="200">
        <f>COUNTIF(単語!G:L,単語辞書!A912)</f>
        <v>3</v>
      </c>
      <c r="D912" s="202"/>
      <c r="E912" s="200" t="s">
        <v>1571</v>
      </c>
      <c r="F912" s="79"/>
    </row>
    <row r="913" spans="1:6" ht="13.5">
      <c r="A913" s="203" t="s">
        <v>2322</v>
      </c>
      <c r="B913" s="203" t="s">
        <v>5128</v>
      </c>
      <c r="C913" s="200">
        <f>COUNTIF(単語!G:L,単語辞書!A913)</f>
        <v>2</v>
      </c>
      <c r="D913" s="202"/>
      <c r="E913" s="200" t="s">
        <v>1571</v>
      </c>
      <c r="F913" s="79"/>
    </row>
    <row r="914" spans="1:6" ht="13.5">
      <c r="A914" s="203" t="s">
        <v>2320</v>
      </c>
      <c r="B914" s="203" t="s">
        <v>5127</v>
      </c>
      <c r="C914" s="200">
        <f>COUNTIF(単語!G:L,単語辞書!A914)</f>
        <v>1</v>
      </c>
      <c r="D914" s="202"/>
      <c r="E914" s="200" t="s">
        <v>1571</v>
      </c>
      <c r="F914" s="79"/>
    </row>
    <row r="915" spans="1:6" ht="13.5">
      <c r="A915" s="203" t="s">
        <v>5126</v>
      </c>
      <c r="B915" s="203" t="s">
        <v>5125</v>
      </c>
      <c r="C915" s="200">
        <f>COUNTIF(単語!G:L,単語辞書!A915)</f>
        <v>1</v>
      </c>
      <c r="D915" s="202"/>
      <c r="E915" s="200" t="s">
        <v>1571</v>
      </c>
      <c r="F915" s="79"/>
    </row>
    <row r="916" spans="1:6" ht="13.5">
      <c r="A916" s="203" t="s">
        <v>5124</v>
      </c>
      <c r="B916" s="203" t="s">
        <v>5123</v>
      </c>
      <c r="C916" s="200">
        <f>COUNTIF(単語!G:L,単語辞書!A916)</f>
        <v>2</v>
      </c>
      <c r="D916" s="202"/>
      <c r="E916" s="200" t="s">
        <v>1571</v>
      </c>
      <c r="F916" s="79"/>
    </row>
    <row r="917" spans="1:6" ht="13.5">
      <c r="A917" s="203" t="s">
        <v>728</v>
      </c>
      <c r="B917" s="203" t="s">
        <v>5122</v>
      </c>
      <c r="C917" s="200">
        <f>COUNTIF(単語!G:L,単語辞書!A917)</f>
        <v>56</v>
      </c>
      <c r="D917" s="202"/>
      <c r="E917" s="200" t="s">
        <v>1571</v>
      </c>
      <c r="F917" s="79"/>
    </row>
    <row r="918" spans="1:6" ht="13.5">
      <c r="A918" s="203" t="s">
        <v>2316</v>
      </c>
      <c r="B918" s="203" t="s">
        <v>5121</v>
      </c>
      <c r="C918" s="200">
        <f>COUNTIF(単語!G:L,単語辞書!A918)</f>
        <v>1</v>
      </c>
      <c r="D918" s="202"/>
      <c r="E918" s="200" t="s">
        <v>1571</v>
      </c>
      <c r="F918" s="79"/>
    </row>
    <row r="919" spans="1:6" ht="13.5">
      <c r="A919" s="203" t="s">
        <v>348</v>
      </c>
      <c r="B919" s="203" t="s">
        <v>5120</v>
      </c>
      <c r="C919" s="200">
        <f>COUNTIF(単語!G:L,単語辞書!A919)</f>
        <v>21</v>
      </c>
      <c r="D919" s="202"/>
      <c r="E919" s="200" t="s">
        <v>1571</v>
      </c>
      <c r="F919" s="79"/>
    </row>
    <row r="920" spans="1:6" ht="13.5">
      <c r="A920" s="203" t="s">
        <v>2584</v>
      </c>
      <c r="B920" s="203" t="s">
        <v>5119</v>
      </c>
      <c r="C920" s="200">
        <f>COUNTIF(単語!G:L,単語辞書!A920)</f>
        <v>1</v>
      </c>
      <c r="D920" s="202"/>
      <c r="E920" s="200" t="s">
        <v>1571</v>
      </c>
      <c r="F920" s="79"/>
    </row>
    <row r="921" spans="1:6" ht="13.5">
      <c r="A921" s="203" t="s">
        <v>4003</v>
      </c>
      <c r="B921" s="203" t="s">
        <v>5118</v>
      </c>
      <c r="C921" s="200">
        <f>COUNTIF(単語!G:L,単語辞書!A921)</f>
        <v>3</v>
      </c>
      <c r="D921" s="202"/>
      <c r="E921" s="200" t="s">
        <v>1571</v>
      </c>
      <c r="F921" s="79"/>
    </row>
    <row r="922" spans="1:6" ht="13.5">
      <c r="A922" s="203" t="s">
        <v>2314</v>
      </c>
      <c r="B922" s="203" t="s">
        <v>5117</v>
      </c>
      <c r="C922" s="200">
        <f>COUNTIF(単語!G:L,単語辞書!A922)</f>
        <v>5</v>
      </c>
      <c r="D922" s="202"/>
      <c r="E922" s="200" t="s">
        <v>1571</v>
      </c>
      <c r="F922" s="79"/>
    </row>
    <row r="923" spans="1:6" ht="13.5">
      <c r="A923" s="203" t="s">
        <v>5116</v>
      </c>
      <c r="B923" s="203" t="s">
        <v>5115</v>
      </c>
      <c r="C923" s="200">
        <f>COUNTIF(単語!G:L,単語辞書!A923)</f>
        <v>1</v>
      </c>
      <c r="D923" s="202"/>
      <c r="E923" s="200" t="s">
        <v>1571</v>
      </c>
      <c r="F923" s="79"/>
    </row>
    <row r="924" spans="1:6" ht="13.5">
      <c r="A924" s="203" t="s">
        <v>5114</v>
      </c>
      <c r="B924" s="203" t="s">
        <v>5113</v>
      </c>
      <c r="C924" s="200">
        <f>COUNTIF(単語!G:L,単語辞書!A924)</f>
        <v>1</v>
      </c>
      <c r="D924" s="212" t="s">
        <v>5112</v>
      </c>
      <c r="E924" s="200" t="s">
        <v>1571</v>
      </c>
      <c r="F924" s="79"/>
    </row>
    <row r="925" spans="1:6" ht="13.5">
      <c r="A925" s="203" t="s">
        <v>236</v>
      </c>
      <c r="B925" s="203" t="s">
        <v>5111</v>
      </c>
      <c r="C925" s="200">
        <f>COUNTIF(単語!G:L,単語辞書!A925)</f>
        <v>11</v>
      </c>
      <c r="D925" s="202"/>
      <c r="E925" s="200" t="s">
        <v>1571</v>
      </c>
      <c r="F925" s="79"/>
    </row>
    <row r="926" spans="1:6" ht="13.5">
      <c r="A926" s="203" t="s">
        <v>278</v>
      </c>
      <c r="B926" s="203" t="s">
        <v>5110</v>
      </c>
      <c r="C926" s="200">
        <f>COUNTIF(単語!G:L,単語辞書!A926)</f>
        <v>20</v>
      </c>
      <c r="D926" s="202"/>
      <c r="E926" s="200" t="s">
        <v>1571</v>
      </c>
      <c r="F926" s="79"/>
    </row>
    <row r="927" spans="1:6" ht="13.5">
      <c r="A927" s="203" t="s">
        <v>405</v>
      </c>
      <c r="B927" s="203" t="s">
        <v>5109</v>
      </c>
      <c r="C927" s="200">
        <f>COUNTIF(単語!G:L,単語辞書!A927)</f>
        <v>12</v>
      </c>
      <c r="D927" s="202"/>
      <c r="E927" s="200" t="s">
        <v>1571</v>
      </c>
      <c r="F927" s="79"/>
    </row>
    <row r="928" spans="1:6" ht="13.5">
      <c r="A928" s="203" t="s">
        <v>2290</v>
      </c>
      <c r="B928" s="203" t="s">
        <v>5108</v>
      </c>
      <c r="C928" s="200">
        <f>COUNTIF(単語!G:L,単語辞書!A928)</f>
        <v>7</v>
      </c>
      <c r="D928" s="202"/>
      <c r="E928" s="200" t="s">
        <v>1571</v>
      </c>
      <c r="F928" s="79"/>
    </row>
    <row r="929" spans="1:6" ht="13.5">
      <c r="A929" s="203" t="s">
        <v>2287</v>
      </c>
      <c r="B929" s="203" t="s">
        <v>5107</v>
      </c>
      <c r="C929" s="200">
        <f>COUNTIF(単語!G:L,単語辞書!A929)</f>
        <v>3</v>
      </c>
      <c r="D929" s="202"/>
      <c r="E929" s="200" t="s">
        <v>1571</v>
      </c>
      <c r="F929" s="79"/>
    </row>
    <row r="930" spans="1:6" ht="13.5">
      <c r="A930" s="203" t="s">
        <v>2280</v>
      </c>
      <c r="B930" s="203" t="s">
        <v>5106</v>
      </c>
      <c r="C930" s="200">
        <f>COUNTIF(単語!G:L,単語辞書!A930)</f>
        <v>7</v>
      </c>
      <c r="D930" s="202"/>
      <c r="E930" s="200" t="s">
        <v>1571</v>
      </c>
      <c r="F930" s="79"/>
    </row>
    <row r="931" spans="1:6" ht="13.5">
      <c r="A931" s="203" t="s">
        <v>2276</v>
      </c>
      <c r="B931" s="203" t="s">
        <v>5105</v>
      </c>
      <c r="C931" s="200">
        <f>COUNTIF(単語!G:L,単語辞書!A931)</f>
        <v>2</v>
      </c>
      <c r="D931" s="202"/>
      <c r="E931" s="200" t="s">
        <v>1571</v>
      </c>
      <c r="F931" s="79"/>
    </row>
    <row r="932" spans="1:6" ht="13.5">
      <c r="A932" s="203" t="s">
        <v>341</v>
      </c>
      <c r="B932" s="203" t="s">
        <v>5104</v>
      </c>
      <c r="C932" s="200">
        <f>COUNTIF(単語!G:L,単語辞書!A932)</f>
        <v>61</v>
      </c>
      <c r="D932" s="202"/>
      <c r="E932" s="200" t="s">
        <v>1571</v>
      </c>
      <c r="F932" s="79"/>
    </row>
    <row r="933" spans="1:6" ht="13.5">
      <c r="A933" s="203" t="s">
        <v>2279</v>
      </c>
      <c r="B933" s="203" t="s">
        <v>5103</v>
      </c>
      <c r="C933" s="200">
        <f>COUNTIF(単語!G:L,単語辞書!A933)</f>
        <v>1</v>
      </c>
      <c r="D933" s="202"/>
      <c r="E933" s="200" t="s">
        <v>1571</v>
      </c>
      <c r="F933" s="79"/>
    </row>
    <row r="934" spans="1:6" ht="13.5">
      <c r="A934" s="203" t="s">
        <v>2274</v>
      </c>
      <c r="B934" s="203" t="s">
        <v>5102</v>
      </c>
      <c r="C934" s="200">
        <f>COUNTIF(単語!G:L,単語辞書!A934)</f>
        <v>21</v>
      </c>
      <c r="D934" s="202"/>
      <c r="E934" s="200" t="s">
        <v>1571</v>
      </c>
      <c r="F934" s="79"/>
    </row>
    <row r="935" spans="1:6" ht="13.5">
      <c r="A935" s="203" t="s">
        <v>2271</v>
      </c>
      <c r="B935" s="203" t="s">
        <v>5101</v>
      </c>
      <c r="C935" s="200">
        <f>COUNTIF(単語!G:L,単語辞書!A935)</f>
        <v>5</v>
      </c>
      <c r="D935" s="202"/>
      <c r="E935" s="200" t="s">
        <v>1571</v>
      </c>
      <c r="F935" s="79"/>
    </row>
    <row r="936" spans="1:6" ht="13.5">
      <c r="A936" s="203" t="s">
        <v>2269</v>
      </c>
      <c r="B936" s="203" t="s">
        <v>5100</v>
      </c>
      <c r="C936" s="200">
        <f>COUNTIF(単語!G:L,単語辞書!A936)</f>
        <v>2</v>
      </c>
      <c r="D936" s="202"/>
      <c r="E936" s="200" t="s">
        <v>1571</v>
      </c>
      <c r="F936" s="79"/>
    </row>
    <row r="937" spans="1:6" ht="13.5">
      <c r="A937" s="203" t="s">
        <v>2425</v>
      </c>
      <c r="B937" s="203" t="s">
        <v>5099</v>
      </c>
      <c r="C937" s="200">
        <f>COUNTIF(単語!G:L,単語辞書!A937)</f>
        <v>2</v>
      </c>
      <c r="D937" s="202"/>
      <c r="E937" s="200" t="s">
        <v>1571</v>
      </c>
      <c r="F937" s="79"/>
    </row>
    <row r="938" spans="1:6" ht="13.5">
      <c r="A938" s="203" t="s">
        <v>3073</v>
      </c>
      <c r="B938" s="203" t="s">
        <v>5098</v>
      </c>
      <c r="C938" s="200">
        <f>COUNTIF(単語!G:L,単語辞書!A938)</f>
        <v>1</v>
      </c>
      <c r="D938" s="202"/>
      <c r="E938" s="200" t="s">
        <v>1571</v>
      </c>
      <c r="F938" s="79"/>
    </row>
    <row r="939" spans="1:6" ht="13.5">
      <c r="A939" s="203" t="s">
        <v>3156</v>
      </c>
      <c r="B939" s="203" t="s">
        <v>5097</v>
      </c>
      <c r="C939" s="200">
        <f>COUNTIF(単語!G:L,単語辞書!A939)</f>
        <v>1</v>
      </c>
      <c r="D939" s="202"/>
      <c r="E939" s="200" t="s">
        <v>1571</v>
      </c>
      <c r="F939" s="79"/>
    </row>
    <row r="940" spans="1:6" ht="13.5">
      <c r="A940" s="203" t="s">
        <v>2254</v>
      </c>
      <c r="B940" s="203" t="s">
        <v>5096</v>
      </c>
      <c r="C940" s="200">
        <f>COUNTIF(単語!G:L,単語辞書!A940)</f>
        <v>13</v>
      </c>
      <c r="D940" s="202"/>
      <c r="E940" s="200" t="s">
        <v>1571</v>
      </c>
      <c r="F940" s="79"/>
    </row>
    <row r="941" spans="1:6" ht="13.5">
      <c r="A941" s="203" t="s">
        <v>2252</v>
      </c>
      <c r="B941" s="203" t="s">
        <v>5095</v>
      </c>
      <c r="C941" s="200">
        <f>COUNTIF(単語!G:L,単語辞書!A941)</f>
        <v>6</v>
      </c>
      <c r="D941" s="202"/>
      <c r="E941" s="200" t="s">
        <v>1571</v>
      </c>
      <c r="F941" s="79"/>
    </row>
    <row r="942" spans="1:6" ht="13.5">
      <c r="A942" s="203" t="s">
        <v>2250</v>
      </c>
      <c r="B942" s="203" t="s">
        <v>5094</v>
      </c>
      <c r="C942" s="200">
        <f>COUNTIF(単語!G:L,単語辞書!A942)</f>
        <v>1</v>
      </c>
      <c r="D942" s="202"/>
      <c r="E942" s="200" t="s">
        <v>1571</v>
      </c>
      <c r="F942" s="79"/>
    </row>
    <row r="943" spans="1:6" ht="13.5">
      <c r="A943" s="203" t="s">
        <v>2247</v>
      </c>
      <c r="B943" s="203" t="s">
        <v>5093</v>
      </c>
      <c r="C943" s="200">
        <f>COUNTIF(単語!G:L,単語辞書!A943)</f>
        <v>5</v>
      </c>
      <c r="D943" s="202"/>
      <c r="E943" s="200" t="s">
        <v>1571</v>
      </c>
      <c r="F943" s="79"/>
    </row>
    <row r="944" spans="1:6" ht="13.5">
      <c r="A944" s="203" t="s">
        <v>2685</v>
      </c>
      <c r="B944" s="203" t="s">
        <v>5092</v>
      </c>
      <c r="C944" s="200">
        <f>COUNTIF(単語!G:L,単語辞書!A944)</f>
        <v>10</v>
      </c>
      <c r="D944" s="202"/>
      <c r="E944" s="200" t="s">
        <v>1571</v>
      </c>
      <c r="F944" s="79"/>
    </row>
    <row r="945" spans="1:6" ht="13.5">
      <c r="A945" s="203" t="s">
        <v>2245</v>
      </c>
      <c r="B945" s="203" t="s">
        <v>5091</v>
      </c>
      <c r="C945" s="200">
        <f>COUNTIF(単語!G:L,単語辞書!A945)</f>
        <v>1</v>
      </c>
      <c r="D945" s="202"/>
      <c r="E945" s="200" t="s">
        <v>1571</v>
      </c>
      <c r="F945" s="79"/>
    </row>
    <row r="946" spans="1:6" ht="13.5">
      <c r="A946" s="203" t="s">
        <v>3713</v>
      </c>
      <c r="B946" s="203" t="s">
        <v>5090</v>
      </c>
      <c r="C946" s="200">
        <f>COUNTIF(単語!G:L,単語辞書!A946)</f>
        <v>1</v>
      </c>
      <c r="D946" s="202"/>
      <c r="E946" s="200" t="s">
        <v>1571</v>
      </c>
      <c r="F946" s="79"/>
    </row>
    <row r="947" spans="1:6" ht="13.5">
      <c r="A947" s="203" t="s">
        <v>3329</v>
      </c>
      <c r="B947" s="203" t="s">
        <v>5089</v>
      </c>
      <c r="C947" s="200">
        <f>COUNTIF(単語!G:L,単語辞書!A947)</f>
        <v>1</v>
      </c>
      <c r="D947" s="202"/>
      <c r="E947" s="200" t="s">
        <v>1571</v>
      </c>
      <c r="F947" s="79"/>
    </row>
    <row r="948" spans="1:6" ht="13.5">
      <c r="A948" s="203" t="s">
        <v>3326</v>
      </c>
      <c r="B948" s="203" t="s">
        <v>5088</v>
      </c>
      <c r="C948" s="200">
        <f>COUNTIF(単語!G:L,単語辞書!A948)</f>
        <v>1</v>
      </c>
      <c r="D948" s="202"/>
      <c r="E948" s="200" t="s">
        <v>1571</v>
      </c>
      <c r="F948" s="79"/>
    </row>
    <row r="949" spans="1:6" ht="13.5">
      <c r="A949" s="203" t="s">
        <v>3072</v>
      </c>
      <c r="B949" s="203" t="s">
        <v>5087</v>
      </c>
      <c r="C949" s="200">
        <f>COUNTIF(単語!G:L,単語辞書!A949)</f>
        <v>1</v>
      </c>
      <c r="D949" s="202"/>
      <c r="E949" s="200" t="s">
        <v>1571</v>
      </c>
      <c r="F949" s="79"/>
    </row>
    <row r="950" spans="1:6" ht="13.5">
      <c r="A950" s="203" t="s">
        <v>3978</v>
      </c>
      <c r="B950" s="203" t="s">
        <v>5086</v>
      </c>
      <c r="C950" s="200">
        <f>COUNTIF(単語!G:L,単語辞書!A950)</f>
        <v>1</v>
      </c>
      <c r="D950" s="202"/>
      <c r="E950" s="200" t="s">
        <v>1571</v>
      </c>
      <c r="F950" s="79"/>
    </row>
    <row r="951" spans="1:6" ht="13.5">
      <c r="A951" s="203" t="s">
        <v>3408</v>
      </c>
      <c r="B951" s="203" t="s">
        <v>5085</v>
      </c>
      <c r="C951" s="200">
        <f>COUNTIF(単語!G:L,単語辞書!A951)</f>
        <v>5</v>
      </c>
      <c r="D951" s="202"/>
      <c r="E951" s="200" t="s">
        <v>1571</v>
      </c>
      <c r="F951" s="79"/>
    </row>
    <row r="952" spans="1:6" ht="13.5">
      <c r="A952" s="203" t="s">
        <v>2722</v>
      </c>
      <c r="B952" s="203" t="s">
        <v>5084</v>
      </c>
      <c r="C952" s="200">
        <f>COUNTIF(単語!G:L,単語辞書!A952)</f>
        <v>5</v>
      </c>
      <c r="D952" s="202"/>
      <c r="E952" s="200" t="s">
        <v>1571</v>
      </c>
      <c r="F952" s="79"/>
    </row>
    <row r="953" spans="1:6" ht="13.5">
      <c r="A953" s="203" t="s">
        <v>2608</v>
      </c>
      <c r="B953" s="210" t="s">
        <v>5083</v>
      </c>
      <c r="C953" s="200">
        <f>COUNTIF(単語!G:L,単語辞書!A953)</f>
        <v>10</v>
      </c>
      <c r="D953" s="202"/>
      <c r="E953" s="200" t="s">
        <v>1571</v>
      </c>
      <c r="F953" s="79"/>
    </row>
    <row r="954" spans="1:6" ht="13.5">
      <c r="A954" s="203" t="s">
        <v>2244</v>
      </c>
      <c r="B954" s="203" t="s">
        <v>5082</v>
      </c>
      <c r="C954" s="200">
        <f>COUNTIF(単語!G:L,単語辞書!A954)</f>
        <v>1</v>
      </c>
      <c r="D954" s="202"/>
      <c r="E954" s="200" t="s">
        <v>1571</v>
      </c>
      <c r="F954" s="79"/>
    </row>
    <row r="955" spans="1:6" ht="13.5">
      <c r="A955" s="203" t="s">
        <v>3986</v>
      </c>
      <c r="B955" s="203" t="s">
        <v>5081</v>
      </c>
      <c r="C955" s="200">
        <f>COUNTIF(単語!G:L,単語辞書!A955)</f>
        <v>1</v>
      </c>
      <c r="D955" s="202"/>
      <c r="E955" s="200" t="s">
        <v>1571</v>
      </c>
      <c r="F955" s="79"/>
    </row>
    <row r="956" spans="1:6" ht="13.5">
      <c r="A956" s="203" t="s">
        <v>2242</v>
      </c>
      <c r="B956" s="203" t="s">
        <v>5080</v>
      </c>
      <c r="C956" s="200">
        <f>COUNTIF(単語!G:L,単語辞書!A956)</f>
        <v>1</v>
      </c>
      <c r="D956" s="202"/>
      <c r="E956" s="200" t="s">
        <v>1571</v>
      </c>
      <c r="F956" s="79"/>
    </row>
    <row r="957" spans="1:6" ht="13.5">
      <c r="A957" s="203" t="s">
        <v>2237</v>
      </c>
      <c r="B957" s="203" t="s">
        <v>5079</v>
      </c>
      <c r="C957" s="200">
        <f>COUNTIF(単語!G:L,単語辞書!A957)</f>
        <v>7</v>
      </c>
      <c r="D957" s="202"/>
      <c r="E957" s="200" t="s">
        <v>1571</v>
      </c>
      <c r="F957" s="79"/>
    </row>
    <row r="958" spans="1:6" ht="13.5">
      <c r="A958" s="203" t="s">
        <v>2234</v>
      </c>
      <c r="B958" s="203" t="s">
        <v>5078</v>
      </c>
      <c r="C958" s="200">
        <f>COUNTIF(単語!G:L,単語辞書!A958)</f>
        <v>1</v>
      </c>
      <c r="D958" s="202"/>
      <c r="E958" s="200" t="s">
        <v>1571</v>
      </c>
      <c r="F958" s="79"/>
    </row>
    <row r="959" spans="1:6" ht="13.5">
      <c r="A959" s="203" t="s">
        <v>2966</v>
      </c>
      <c r="B959" s="203" t="s">
        <v>5077</v>
      </c>
      <c r="C959" s="200">
        <f>COUNTIF(単語!G:L,単語辞書!A959)</f>
        <v>2</v>
      </c>
      <c r="D959" s="202"/>
      <c r="E959" s="200" t="s">
        <v>1571</v>
      </c>
      <c r="F959" s="79"/>
    </row>
    <row r="960" spans="1:6" ht="13.5">
      <c r="A960" s="203" t="s">
        <v>3980</v>
      </c>
      <c r="B960" s="203" t="s">
        <v>5076</v>
      </c>
      <c r="C960" s="200">
        <f>COUNTIF(単語!G:L,単語辞書!A960)</f>
        <v>5</v>
      </c>
      <c r="D960" s="202"/>
      <c r="E960" s="200" t="s">
        <v>1571</v>
      </c>
      <c r="F960" s="79"/>
    </row>
    <row r="961" spans="1:6" ht="13.5">
      <c r="A961" s="203" t="s">
        <v>2232</v>
      </c>
      <c r="B961" s="203" t="s">
        <v>5075</v>
      </c>
      <c r="C961" s="200">
        <f>COUNTIF(単語!G:L,単語辞書!A961)</f>
        <v>1</v>
      </c>
      <c r="D961" s="202"/>
      <c r="E961" s="200" t="s">
        <v>1571</v>
      </c>
      <c r="F961" s="79"/>
    </row>
    <row r="962" spans="1:6" ht="13.5">
      <c r="A962" s="203" t="s">
        <v>3578</v>
      </c>
      <c r="B962" s="203" t="s">
        <v>5074</v>
      </c>
      <c r="C962" s="200">
        <f>COUNTIF(単語!G:L,単語辞書!A962)</f>
        <v>2</v>
      </c>
      <c r="D962" s="202"/>
      <c r="E962" s="200" t="s">
        <v>1571</v>
      </c>
      <c r="F962" s="79"/>
    </row>
    <row r="963" spans="1:6" ht="13.5">
      <c r="A963" s="203" t="s">
        <v>2622</v>
      </c>
      <c r="B963" s="203" t="s">
        <v>5073</v>
      </c>
      <c r="C963" s="200">
        <f>COUNTIF(単語!G:L,単語辞書!A963)</f>
        <v>1</v>
      </c>
      <c r="D963" s="202"/>
      <c r="E963" s="200" t="s">
        <v>1571</v>
      </c>
      <c r="F963" s="79"/>
    </row>
    <row r="964" spans="1:6" ht="13.5">
      <c r="A964" s="203" t="s">
        <v>5072</v>
      </c>
      <c r="B964" s="203" t="s">
        <v>5071</v>
      </c>
      <c r="C964" s="200">
        <f>COUNTIF(単語!G:L,単語辞書!A964)</f>
        <v>1</v>
      </c>
      <c r="D964" s="202"/>
      <c r="E964" s="200" t="s">
        <v>1571</v>
      </c>
      <c r="F964" s="79"/>
    </row>
    <row r="965" spans="1:6" ht="13.5">
      <c r="A965" s="203" t="s">
        <v>5070</v>
      </c>
      <c r="B965" s="203" t="s">
        <v>5069</v>
      </c>
      <c r="C965" s="200">
        <f>COUNTIF(単語!G:L,単語辞書!A965)</f>
        <v>3</v>
      </c>
      <c r="D965" s="202"/>
      <c r="E965" s="200" t="s">
        <v>1571</v>
      </c>
      <c r="F965" s="79"/>
    </row>
    <row r="966" spans="1:6" ht="13.5">
      <c r="A966" s="203" t="s">
        <v>2228</v>
      </c>
      <c r="B966" s="203" t="s">
        <v>5068</v>
      </c>
      <c r="C966" s="200">
        <f>COUNTIF(単語!G:L,単語辞書!A966)</f>
        <v>6</v>
      </c>
      <c r="D966" s="202"/>
      <c r="E966" s="200" t="s">
        <v>1571</v>
      </c>
      <c r="F966" s="79"/>
    </row>
    <row r="967" spans="1:6" ht="13.5">
      <c r="A967" s="203" t="s">
        <v>3543</v>
      </c>
      <c r="B967" s="203" t="s">
        <v>5067</v>
      </c>
      <c r="C967" s="200">
        <f>COUNTIF(単語!G:L,単語辞書!A967)</f>
        <v>1</v>
      </c>
      <c r="D967" s="202"/>
      <c r="E967" s="200" t="s">
        <v>1571</v>
      </c>
      <c r="F967" s="79"/>
    </row>
    <row r="968" spans="1:6" ht="13.5">
      <c r="A968" s="203" t="s">
        <v>2205</v>
      </c>
      <c r="B968" s="203" t="s">
        <v>5066</v>
      </c>
      <c r="C968" s="200">
        <f>COUNTIF(単語!G:L,単語辞書!A968)</f>
        <v>14</v>
      </c>
      <c r="D968" s="202"/>
      <c r="E968" s="200" t="s">
        <v>1571</v>
      </c>
      <c r="F968" s="79"/>
    </row>
    <row r="969" spans="1:6" ht="13.5">
      <c r="A969" s="203" t="s">
        <v>5065</v>
      </c>
      <c r="B969" s="203" t="s">
        <v>5064</v>
      </c>
      <c r="C969" s="200">
        <f>COUNTIF(単語!G:L,単語辞書!A969)</f>
        <v>6</v>
      </c>
      <c r="D969" s="202"/>
      <c r="E969" s="200" t="s">
        <v>1571</v>
      </c>
      <c r="F969" s="79"/>
    </row>
    <row r="970" spans="1:6" ht="13.5">
      <c r="A970" s="203" t="s">
        <v>5063</v>
      </c>
      <c r="B970" s="203" t="s">
        <v>5062</v>
      </c>
      <c r="C970" s="200">
        <f>COUNTIF(単語!G:L,単語辞書!A970)</f>
        <v>1</v>
      </c>
      <c r="D970" s="202"/>
      <c r="E970" s="200" t="s">
        <v>1571</v>
      </c>
      <c r="F970" s="79"/>
    </row>
    <row r="971" spans="1:6" ht="13.5">
      <c r="A971" s="97" t="s">
        <v>2195</v>
      </c>
      <c r="B971" s="203" t="s">
        <v>5061</v>
      </c>
      <c r="C971" s="200">
        <f>COUNTIF(単語!G:L,単語辞書!A971)</f>
        <v>1</v>
      </c>
      <c r="D971" s="202"/>
      <c r="E971" s="200" t="s">
        <v>1571</v>
      </c>
      <c r="F971" s="79"/>
    </row>
    <row r="972" spans="1:6" ht="13.5">
      <c r="A972" s="211" t="s">
        <v>723</v>
      </c>
      <c r="B972" s="210" t="s">
        <v>5060</v>
      </c>
      <c r="C972" s="200">
        <f>COUNTIF(単語!G:L,単語辞書!A972)</f>
        <v>4</v>
      </c>
      <c r="D972" s="202"/>
      <c r="E972" s="200" t="s">
        <v>1571</v>
      </c>
      <c r="F972" s="79"/>
    </row>
    <row r="973" spans="1:6" ht="13.5">
      <c r="A973" s="203" t="s">
        <v>5059</v>
      </c>
      <c r="B973" s="203" t="s">
        <v>5058</v>
      </c>
      <c r="C973" s="200">
        <f>COUNTIF(単語!G:L,単語辞書!A973)</f>
        <v>6</v>
      </c>
      <c r="D973" s="202"/>
      <c r="E973" s="200" t="s">
        <v>1571</v>
      </c>
      <c r="F973" s="79"/>
    </row>
    <row r="974" spans="1:6" ht="13.5">
      <c r="A974" s="203" t="s">
        <v>729</v>
      </c>
      <c r="B974" s="210" t="s">
        <v>5057</v>
      </c>
      <c r="C974" s="200">
        <f>COUNTIF(単語!G:L,単語辞書!A974)</f>
        <v>11</v>
      </c>
      <c r="D974" s="202"/>
      <c r="E974" s="200" t="s">
        <v>1571</v>
      </c>
      <c r="F974" s="79"/>
    </row>
    <row r="975" spans="1:6" ht="13.5">
      <c r="A975" s="203" t="s">
        <v>5056</v>
      </c>
      <c r="B975" s="203" t="s">
        <v>5055</v>
      </c>
      <c r="C975" s="200">
        <f>COUNTIF(単語!G:L,単語辞書!A975)</f>
        <v>1</v>
      </c>
      <c r="D975" s="202"/>
      <c r="E975" s="200" t="s">
        <v>1571</v>
      </c>
      <c r="F975" s="79"/>
    </row>
    <row r="976" spans="1:6" ht="13.5">
      <c r="A976" s="203" t="s">
        <v>5054</v>
      </c>
      <c r="B976" s="203" t="s">
        <v>5053</v>
      </c>
      <c r="C976" s="200">
        <f>COUNTIF(単語!G:L,単語辞書!A976)</f>
        <v>4</v>
      </c>
      <c r="D976" s="202"/>
      <c r="E976" s="200" t="s">
        <v>1571</v>
      </c>
      <c r="F976" s="79"/>
    </row>
    <row r="977" spans="1:6" ht="13.5">
      <c r="A977" s="203" t="s">
        <v>878</v>
      </c>
      <c r="B977" s="203" t="s">
        <v>5052</v>
      </c>
      <c r="C977" s="200">
        <f>COUNTIF(単語!G:L,単語辞書!A977)</f>
        <v>23</v>
      </c>
      <c r="D977" s="202"/>
      <c r="E977" s="200" t="s">
        <v>1571</v>
      </c>
      <c r="F977" s="79"/>
    </row>
    <row r="978" spans="1:6" ht="13.5">
      <c r="A978" s="203" t="s">
        <v>5051</v>
      </c>
      <c r="B978" s="203" t="s">
        <v>5050</v>
      </c>
      <c r="C978" s="200">
        <f>COUNTIF(単語!G:L,単語辞書!A978)</f>
        <v>1</v>
      </c>
      <c r="D978" s="202"/>
      <c r="E978" s="200" t="s">
        <v>1571</v>
      </c>
      <c r="F978" s="79"/>
    </row>
    <row r="979" spans="1:6" ht="13.5">
      <c r="A979" s="203" t="s">
        <v>1918</v>
      </c>
      <c r="B979" s="203" t="s">
        <v>5049</v>
      </c>
      <c r="C979" s="200">
        <f>COUNTIF(単語!G:L,単語辞書!A979)</f>
        <v>11</v>
      </c>
      <c r="D979" s="202"/>
      <c r="E979" s="200" t="s">
        <v>1571</v>
      </c>
      <c r="F979" s="79"/>
    </row>
    <row r="980" spans="1:6" ht="13.5">
      <c r="A980" s="203" t="s">
        <v>5048</v>
      </c>
      <c r="B980" s="203" t="s">
        <v>5047</v>
      </c>
      <c r="C980" s="200">
        <f>COUNTIF(単語!G:L,単語辞書!A980)</f>
        <v>9</v>
      </c>
      <c r="D980" s="202"/>
      <c r="E980" s="200" t="s">
        <v>1571</v>
      </c>
      <c r="F980" s="79"/>
    </row>
    <row r="981" spans="1:6" ht="13.5">
      <c r="A981" s="203" t="s">
        <v>5046</v>
      </c>
      <c r="B981" s="210" t="s">
        <v>5045</v>
      </c>
      <c r="C981" s="200">
        <f>COUNTIF(単語!G:L,単語辞書!A981)</f>
        <v>1</v>
      </c>
      <c r="D981" s="202"/>
      <c r="E981" s="200" t="s">
        <v>1571</v>
      </c>
      <c r="F981" s="79"/>
    </row>
    <row r="982" spans="1:6" ht="13.5">
      <c r="A982" s="203" t="s">
        <v>5044</v>
      </c>
      <c r="B982" s="203" t="s">
        <v>5043</v>
      </c>
      <c r="C982" s="200">
        <f>COUNTIF(単語!G:L,単語辞書!A982)</f>
        <v>1</v>
      </c>
      <c r="D982" s="202"/>
      <c r="E982" s="200" t="s">
        <v>1571</v>
      </c>
      <c r="F982" s="79"/>
    </row>
    <row r="983" spans="1:6" ht="13.5">
      <c r="A983" s="97" t="s">
        <v>2089</v>
      </c>
      <c r="B983" s="203" t="s">
        <v>5042</v>
      </c>
      <c r="C983" s="200">
        <f>COUNTIF(単語!G:L,単語辞書!A983)</f>
        <v>1</v>
      </c>
      <c r="D983" s="202"/>
      <c r="E983" s="200" t="s">
        <v>1571</v>
      </c>
      <c r="F983" s="79"/>
    </row>
    <row r="984" spans="1:6" ht="13.5">
      <c r="A984" s="203" t="s">
        <v>2078</v>
      </c>
      <c r="B984" s="203" t="s">
        <v>5041</v>
      </c>
      <c r="C984" s="200">
        <f>COUNTIF(単語!G:L,単語辞書!A984)</f>
        <v>1</v>
      </c>
      <c r="D984" s="202" t="s">
        <v>5040</v>
      </c>
      <c r="E984" s="200" t="s">
        <v>1571</v>
      </c>
      <c r="F984" s="79"/>
    </row>
    <row r="985" spans="1:6" ht="13.5">
      <c r="A985" s="203" t="s">
        <v>1583</v>
      </c>
      <c r="B985" s="203" t="s">
        <v>5039</v>
      </c>
      <c r="C985" s="200">
        <f>COUNTIF(単語!G:L,単語辞書!A985)</f>
        <v>6</v>
      </c>
      <c r="D985" s="202"/>
      <c r="E985" s="200" t="s">
        <v>1571</v>
      </c>
      <c r="F985" s="79"/>
    </row>
    <row r="986" spans="1:6" ht="13.5">
      <c r="A986" s="203" t="s">
        <v>5038</v>
      </c>
      <c r="B986" s="203" t="s">
        <v>5037</v>
      </c>
      <c r="C986" s="200">
        <f>COUNTIF(単語!G:L,単語辞書!A986)</f>
        <v>4</v>
      </c>
      <c r="D986" s="202"/>
      <c r="E986" s="200" t="s">
        <v>1571</v>
      </c>
      <c r="F986" s="79"/>
    </row>
    <row r="987" spans="1:6" ht="13.5">
      <c r="A987" s="203" t="s">
        <v>5036</v>
      </c>
      <c r="B987" s="203" t="s">
        <v>5035</v>
      </c>
      <c r="C987" s="200">
        <f>COUNTIF(単語!G:L,単語辞書!A987)</f>
        <v>1</v>
      </c>
      <c r="D987" s="202"/>
      <c r="E987" s="200" t="s">
        <v>1571</v>
      </c>
      <c r="F987" s="79"/>
    </row>
    <row r="988" spans="1:6" ht="13.5">
      <c r="A988" s="203" t="s">
        <v>5034</v>
      </c>
      <c r="B988" s="203" t="s">
        <v>5033</v>
      </c>
      <c r="C988" s="200">
        <f>COUNTIF(単語!G:L,単語辞書!A988)</f>
        <v>1</v>
      </c>
      <c r="D988" s="202"/>
      <c r="E988" s="200" t="s">
        <v>1571</v>
      </c>
      <c r="F988" s="79"/>
    </row>
    <row r="989" spans="1:6" ht="13.5">
      <c r="A989" s="203" t="s">
        <v>386</v>
      </c>
      <c r="B989" s="210" t="s">
        <v>5032</v>
      </c>
      <c r="C989" s="200">
        <f>COUNTIF(単語!G:L,単語辞書!A989)</f>
        <v>11</v>
      </c>
      <c r="D989" s="202"/>
      <c r="E989" s="200" t="s">
        <v>1571</v>
      </c>
      <c r="F989" s="79"/>
    </row>
    <row r="990" spans="1:6" ht="13.5">
      <c r="A990" s="203" t="s">
        <v>5031</v>
      </c>
      <c r="B990" s="203" t="s">
        <v>5030</v>
      </c>
      <c r="C990" s="200">
        <f>COUNTIF(単語!G:L,単語辞書!A990)</f>
        <v>1</v>
      </c>
      <c r="D990" s="202"/>
      <c r="E990" s="200" t="s">
        <v>1571</v>
      </c>
      <c r="F990" s="79"/>
    </row>
    <row r="991" spans="1:6" ht="13.5">
      <c r="A991" s="97" t="s">
        <v>1923</v>
      </c>
      <c r="B991" s="203" t="s">
        <v>5029</v>
      </c>
      <c r="C991" s="200">
        <f>COUNTIF(単語!G:L,単語辞書!A991)</f>
        <v>2</v>
      </c>
      <c r="D991" s="202"/>
      <c r="E991" s="200" t="s">
        <v>1571</v>
      </c>
      <c r="F991" s="79"/>
    </row>
    <row r="992" spans="1:6" ht="13.5">
      <c r="A992" s="203" t="s">
        <v>208</v>
      </c>
      <c r="B992" s="203" t="s">
        <v>5028</v>
      </c>
      <c r="C992" s="200">
        <f>COUNTIF(単語!G:L,単語辞書!A992)</f>
        <v>7</v>
      </c>
      <c r="D992" s="202"/>
      <c r="E992" s="200" t="s">
        <v>1571</v>
      </c>
      <c r="F992" s="79"/>
    </row>
    <row r="993" spans="1:6" ht="13.5">
      <c r="A993" s="203" t="s">
        <v>5027</v>
      </c>
      <c r="B993" s="203" t="s">
        <v>5026</v>
      </c>
      <c r="C993" s="200">
        <f>COUNTIF(単語!G:L,単語辞書!A993)</f>
        <v>1</v>
      </c>
      <c r="D993" s="202"/>
      <c r="E993" s="200" t="s">
        <v>1571</v>
      </c>
      <c r="F993" s="79"/>
    </row>
    <row r="994" spans="1:6" ht="13.5">
      <c r="A994" s="203" t="s">
        <v>1933</v>
      </c>
      <c r="B994" s="203" t="s">
        <v>5025</v>
      </c>
      <c r="C994" s="200">
        <f>COUNTIF(単語!G:L,単語辞書!A994)</f>
        <v>1</v>
      </c>
      <c r="D994" s="202"/>
      <c r="E994" s="200" t="s">
        <v>1571</v>
      </c>
      <c r="F994" s="79"/>
    </row>
    <row r="995" spans="1:6" ht="13.5">
      <c r="A995" s="203" t="s">
        <v>416</v>
      </c>
      <c r="B995" s="203" t="s">
        <v>5024</v>
      </c>
      <c r="C995" s="200">
        <f>COUNTIF(単語!G:L,単語辞書!A995)</f>
        <v>12</v>
      </c>
      <c r="D995" s="202"/>
      <c r="E995" s="200" t="s">
        <v>1571</v>
      </c>
      <c r="F995" s="79"/>
    </row>
    <row r="996" spans="1:6" ht="13.5">
      <c r="A996" s="203" t="s">
        <v>889</v>
      </c>
      <c r="B996" s="203" t="s">
        <v>5023</v>
      </c>
      <c r="C996" s="200">
        <f>COUNTIF(単語!G:L,単語辞書!A996)</f>
        <v>17</v>
      </c>
      <c r="D996" s="202"/>
      <c r="E996" s="200" t="s">
        <v>1571</v>
      </c>
      <c r="F996" s="79"/>
    </row>
    <row r="997" spans="1:6" ht="13.5">
      <c r="A997" s="203" t="s">
        <v>5022</v>
      </c>
      <c r="B997" s="203" t="s">
        <v>5021</v>
      </c>
      <c r="C997" s="200">
        <f>COUNTIF(単語!G:L,単語辞書!A997)</f>
        <v>1</v>
      </c>
      <c r="D997" s="202"/>
      <c r="E997" s="200" t="s">
        <v>1571</v>
      </c>
      <c r="F997" s="79"/>
    </row>
    <row r="998" spans="1:6" ht="13.5">
      <c r="A998" s="203" t="s">
        <v>5020</v>
      </c>
      <c r="B998" s="203" t="s">
        <v>5019</v>
      </c>
      <c r="C998" s="200">
        <f>COUNTIF(単語!G:L,単語辞書!A998)</f>
        <v>1</v>
      </c>
      <c r="D998" s="202"/>
      <c r="E998" s="200" t="s">
        <v>1571</v>
      </c>
      <c r="F998" s="79"/>
    </row>
    <row r="999" spans="1:6" ht="13.5">
      <c r="A999" s="203" t="s">
        <v>5018</v>
      </c>
      <c r="B999" s="203" t="s">
        <v>5017</v>
      </c>
      <c r="C999" s="200">
        <f>COUNTIF(単語!G:L,単語辞書!A999)</f>
        <v>2</v>
      </c>
      <c r="D999" s="202"/>
      <c r="E999" s="200" t="s">
        <v>1571</v>
      </c>
      <c r="F999" s="79"/>
    </row>
    <row r="1000" spans="1:6" ht="13.5">
      <c r="A1000" s="203" t="s">
        <v>5016</v>
      </c>
      <c r="B1000" s="203" t="s">
        <v>5015</v>
      </c>
      <c r="C1000" s="200">
        <f>COUNTIF(単語!G:L,単語辞書!A1000)</f>
        <v>1</v>
      </c>
      <c r="D1000" s="202"/>
      <c r="E1000" s="200" t="s">
        <v>1571</v>
      </c>
      <c r="F1000" s="79"/>
    </row>
    <row r="1001" spans="1:6" ht="13.5">
      <c r="A1001" s="203" t="s">
        <v>5014</v>
      </c>
      <c r="B1001" s="203" t="s">
        <v>5013</v>
      </c>
      <c r="C1001" s="200">
        <f>COUNTIF(単語!G:L,単語辞書!A1001)</f>
        <v>10</v>
      </c>
      <c r="D1001" s="202"/>
      <c r="E1001" s="200" t="s">
        <v>1571</v>
      </c>
      <c r="F1001" s="79"/>
    </row>
    <row r="1002" spans="1:6" ht="13.5">
      <c r="A1002" s="203" t="s">
        <v>1686</v>
      </c>
      <c r="B1002" s="203" t="s">
        <v>5012</v>
      </c>
      <c r="C1002" s="200">
        <f>COUNTIF(単語!G:L,単語辞書!A1002)</f>
        <v>15</v>
      </c>
      <c r="D1002" s="202"/>
      <c r="E1002" s="200" t="s">
        <v>1571</v>
      </c>
      <c r="F1002" s="79"/>
    </row>
    <row r="1003" spans="1:6" ht="13.5">
      <c r="A1003" s="203" t="s">
        <v>5011</v>
      </c>
      <c r="B1003" s="203" t="s">
        <v>5010</v>
      </c>
      <c r="C1003" s="200">
        <f>COUNTIF(単語!G:L,単語辞書!A1003)</f>
        <v>1</v>
      </c>
      <c r="D1003" s="202"/>
      <c r="E1003" s="200" t="s">
        <v>1571</v>
      </c>
      <c r="F1003" s="79"/>
    </row>
    <row r="1004" spans="1:6" ht="13.5">
      <c r="A1004" s="97" t="s">
        <v>5009</v>
      </c>
      <c r="B1004" s="203" t="s">
        <v>5008</v>
      </c>
      <c r="C1004" s="200">
        <f>COUNTIF(単語!G:L,単語辞書!A1004)</f>
        <v>3</v>
      </c>
      <c r="D1004" s="202"/>
      <c r="E1004" s="200" t="s">
        <v>1571</v>
      </c>
      <c r="F1004" s="79"/>
    </row>
    <row r="1005" spans="1:6" ht="13.5">
      <c r="A1005" s="203" t="s">
        <v>5007</v>
      </c>
      <c r="B1005" s="203" t="s">
        <v>5006</v>
      </c>
      <c r="C1005" s="200">
        <f>COUNTIF(単語!G:L,単語辞書!A1005)</f>
        <v>1</v>
      </c>
      <c r="D1005" s="202"/>
      <c r="E1005" s="200" t="s">
        <v>1571</v>
      </c>
      <c r="F1005" s="79"/>
    </row>
    <row r="1006" spans="1:6" ht="13.5">
      <c r="A1006" s="203" t="s">
        <v>5005</v>
      </c>
      <c r="B1006" s="203" t="s">
        <v>5005</v>
      </c>
      <c r="C1006" s="200">
        <f>COUNTIF(単語!G:L,単語辞書!A1006)</f>
        <v>1</v>
      </c>
      <c r="D1006" s="202"/>
      <c r="E1006" s="200" t="s">
        <v>1571</v>
      </c>
      <c r="F1006" s="79"/>
    </row>
    <row r="1007" spans="1:6" ht="13.5">
      <c r="A1007" s="203" t="s">
        <v>5004</v>
      </c>
      <c r="B1007" s="203" t="s">
        <v>5003</v>
      </c>
      <c r="C1007" s="200">
        <f>COUNTIF(単語!G:L,単語辞書!A1007)</f>
        <v>1</v>
      </c>
      <c r="D1007" s="202"/>
      <c r="E1007" s="200" t="s">
        <v>1571</v>
      </c>
      <c r="F1007" s="79"/>
    </row>
    <row r="1008" spans="1:6" ht="13.5">
      <c r="A1008" s="203" t="s">
        <v>1236</v>
      </c>
      <c r="B1008" s="203" t="s">
        <v>5002</v>
      </c>
      <c r="C1008" s="200">
        <f>COUNTIF(単語!G:L,単語辞書!A1008)</f>
        <v>5</v>
      </c>
      <c r="D1008" s="202"/>
      <c r="E1008" s="200" t="s">
        <v>1571</v>
      </c>
      <c r="F1008" s="79"/>
    </row>
    <row r="1009" spans="1:6" ht="13.5">
      <c r="A1009" s="203" t="s">
        <v>1564</v>
      </c>
      <c r="B1009" s="203" t="s">
        <v>5001</v>
      </c>
      <c r="C1009" s="200">
        <f>COUNTIF(単語!G:L,単語辞書!A1009)</f>
        <v>8</v>
      </c>
      <c r="D1009" s="202"/>
      <c r="E1009" s="200" t="s">
        <v>1459</v>
      </c>
      <c r="F1009" s="79"/>
    </row>
    <row r="1010" spans="1:6" ht="13.5">
      <c r="A1010" s="203" t="s">
        <v>58</v>
      </c>
      <c r="B1010" s="203" t="s">
        <v>5000</v>
      </c>
      <c r="C1010" s="200">
        <f>COUNTIF(単語!G:L,単語辞書!A1010)</f>
        <v>1</v>
      </c>
      <c r="D1010" s="202" t="s">
        <v>4999</v>
      </c>
      <c r="E1010" s="200" t="s">
        <v>1459</v>
      </c>
      <c r="F1010" s="79"/>
    </row>
    <row r="1011" spans="1:6" ht="13.5">
      <c r="A1011" s="203" t="s">
        <v>1511</v>
      </c>
      <c r="B1011" s="203" t="s">
        <v>4998</v>
      </c>
      <c r="C1011" s="200">
        <f>COUNTIF(単語!G:L,単語辞書!A1011)</f>
        <v>3</v>
      </c>
      <c r="D1011" s="202"/>
      <c r="E1011" s="200" t="s">
        <v>1459</v>
      </c>
      <c r="F1011" s="79"/>
    </row>
    <row r="1012" spans="1:6" ht="13.5">
      <c r="A1012" s="203" t="s">
        <v>1559</v>
      </c>
      <c r="B1012" s="203" t="s">
        <v>4997</v>
      </c>
      <c r="C1012" s="200">
        <f>COUNTIF(単語!G:L,単語辞書!A1012)</f>
        <v>8</v>
      </c>
      <c r="D1012" s="202"/>
      <c r="E1012" s="200" t="s">
        <v>1459</v>
      </c>
      <c r="F1012" s="79"/>
    </row>
    <row r="1013" spans="1:6" ht="13.5">
      <c r="A1013" s="203" t="s">
        <v>1740</v>
      </c>
      <c r="B1013" s="203" t="s">
        <v>4996</v>
      </c>
      <c r="C1013" s="200">
        <f>COUNTIF(単語!G:L,単語辞書!A1013)</f>
        <v>1</v>
      </c>
      <c r="D1013" s="202"/>
      <c r="E1013" s="200" t="s">
        <v>1459</v>
      </c>
      <c r="F1013" s="79"/>
    </row>
    <row r="1014" spans="1:6" ht="13.5">
      <c r="A1014" s="203" t="s">
        <v>1751</v>
      </c>
      <c r="B1014" s="203" t="s">
        <v>4995</v>
      </c>
      <c r="C1014" s="200">
        <f>COUNTIF(単語!G:L,単語辞書!A1014)</f>
        <v>1</v>
      </c>
      <c r="D1014" s="202" t="s">
        <v>4994</v>
      </c>
      <c r="E1014" s="200" t="s">
        <v>1459</v>
      </c>
      <c r="F1014" s="79"/>
    </row>
    <row r="1015" spans="1:6" ht="13.5">
      <c r="A1015" s="203" t="s">
        <v>1747</v>
      </c>
      <c r="B1015" s="203" t="s">
        <v>4993</v>
      </c>
      <c r="C1015" s="200">
        <f>COUNTIF(単語!G:L,単語辞書!A1015)</f>
        <v>2</v>
      </c>
      <c r="D1015" s="202" t="s">
        <v>4992</v>
      </c>
      <c r="E1015" s="200" t="s">
        <v>1767</v>
      </c>
      <c r="F1015" s="79"/>
    </row>
    <row r="1016" spans="1:6" ht="13.5">
      <c r="A1016" s="203" t="s">
        <v>1612</v>
      </c>
      <c r="B1016" s="203" t="s">
        <v>4991</v>
      </c>
      <c r="C1016" s="200">
        <f>COUNTIF(単語!G:L,単語辞書!A1016)</f>
        <v>2</v>
      </c>
      <c r="D1016" s="202" t="s">
        <v>4990</v>
      </c>
      <c r="E1016" s="200" t="s">
        <v>1767</v>
      </c>
      <c r="F1016" s="79"/>
    </row>
    <row r="1017" spans="1:6" ht="13.5">
      <c r="A1017" s="203" t="s">
        <v>1678</v>
      </c>
      <c r="B1017" s="203" t="s">
        <v>4989</v>
      </c>
      <c r="C1017" s="200">
        <f>COUNTIF(単語!G:L,単語辞書!A1017)</f>
        <v>2</v>
      </c>
      <c r="D1017" s="202" t="s">
        <v>4988</v>
      </c>
      <c r="E1017" s="200" t="s">
        <v>1767</v>
      </c>
      <c r="F1017" s="79"/>
    </row>
    <row r="1018" spans="1:6" ht="13.5">
      <c r="A1018" s="203" t="s">
        <v>4987</v>
      </c>
      <c r="B1018" s="203" t="s">
        <v>4986</v>
      </c>
      <c r="C1018" s="200">
        <f>COUNTIF(単語!G:L,単語辞書!A1018)</f>
        <v>2</v>
      </c>
      <c r="D1018" s="202" t="s">
        <v>4985</v>
      </c>
      <c r="E1018" s="200" t="s">
        <v>1767</v>
      </c>
      <c r="F1018" s="79"/>
    </row>
    <row r="1019" spans="1:6" ht="13.5">
      <c r="A1019" s="203" t="s">
        <v>1650</v>
      </c>
      <c r="B1019" s="203" t="s">
        <v>4984</v>
      </c>
      <c r="C1019" s="200">
        <f>COUNTIF(単語!G:L,単語辞書!A1019)</f>
        <v>31</v>
      </c>
      <c r="D1019" s="202"/>
      <c r="E1019" s="200" t="s">
        <v>1767</v>
      </c>
      <c r="F1019" s="79"/>
    </row>
    <row r="1020" spans="1:6" ht="13.5">
      <c r="A1020" s="203" t="s">
        <v>813</v>
      </c>
      <c r="B1020" s="203" t="s">
        <v>4983</v>
      </c>
      <c r="C1020" s="200">
        <f>COUNTIF(単語!G:L,単語辞書!A1020)</f>
        <v>8</v>
      </c>
      <c r="D1020" s="202"/>
      <c r="E1020" s="200" t="s">
        <v>1767</v>
      </c>
      <c r="F1020" s="79"/>
    </row>
    <row r="1021" spans="1:6" ht="13.5">
      <c r="A1021" s="203" t="s">
        <v>1657</v>
      </c>
      <c r="B1021" s="203" t="s">
        <v>4982</v>
      </c>
      <c r="C1021" s="200">
        <f>COUNTIF(単語!G:L,単語辞書!A1021)</f>
        <v>2</v>
      </c>
      <c r="D1021" s="202"/>
      <c r="E1021" s="200" t="s">
        <v>1767</v>
      </c>
      <c r="F1021" s="79"/>
    </row>
    <row r="1022" spans="1:6" ht="13.5">
      <c r="A1022" s="203" t="s">
        <v>1653</v>
      </c>
      <c r="B1022" s="203" t="s">
        <v>4981</v>
      </c>
      <c r="C1022" s="200">
        <f>COUNTIF(単語!G:L,単語辞書!A1022)</f>
        <v>4</v>
      </c>
      <c r="D1022" s="202" t="s">
        <v>4980</v>
      </c>
      <c r="E1022" s="200" t="s">
        <v>1767</v>
      </c>
      <c r="F1022" s="79"/>
    </row>
    <row r="1023" spans="1:6" ht="13.5">
      <c r="A1023" s="203" t="s">
        <v>1622</v>
      </c>
      <c r="B1023" s="203" t="s">
        <v>4979</v>
      </c>
      <c r="C1023" s="200">
        <f>COUNTIF(単語!G:L,単語辞書!A1023)</f>
        <v>7</v>
      </c>
      <c r="D1023" s="202" t="s">
        <v>4978</v>
      </c>
      <c r="E1023" s="200" t="s">
        <v>1767</v>
      </c>
      <c r="F1023" s="79"/>
    </row>
    <row r="1024" spans="1:6" ht="13.5">
      <c r="A1024" s="203" t="s">
        <v>1637</v>
      </c>
      <c r="B1024" s="203" t="s">
        <v>4977</v>
      </c>
      <c r="C1024" s="200">
        <f>COUNTIF(単語!G:L,単語辞書!A1024)</f>
        <v>1</v>
      </c>
      <c r="D1024" s="202" t="s">
        <v>4976</v>
      </c>
      <c r="E1024" s="200" t="s">
        <v>4975</v>
      </c>
      <c r="F1024" s="79"/>
    </row>
    <row r="1025" spans="1:6" ht="13.5">
      <c r="A1025" s="203" t="s">
        <v>1634</v>
      </c>
      <c r="B1025" s="203" t="s">
        <v>4974</v>
      </c>
      <c r="C1025" s="200">
        <f>COUNTIF(単語!G:L,単語辞書!A1025)</f>
        <v>1</v>
      </c>
      <c r="D1025" s="202" t="s">
        <v>4973</v>
      </c>
      <c r="E1025" s="200" t="s">
        <v>1419</v>
      </c>
      <c r="F1025" s="79"/>
    </row>
    <row r="1026" spans="1:6" ht="13.5">
      <c r="A1026" s="203" t="s">
        <v>1628</v>
      </c>
      <c r="B1026" s="203" t="s">
        <v>4972</v>
      </c>
      <c r="C1026" s="200">
        <f>COUNTIF(単語!G:L,単語辞書!A1026)</f>
        <v>2</v>
      </c>
      <c r="D1026" s="202" t="s">
        <v>4971</v>
      </c>
      <c r="E1026" s="200" t="s">
        <v>1419</v>
      </c>
      <c r="F1026" s="79"/>
    </row>
    <row r="1027" spans="1:6" ht="13.5">
      <c r="A1027" s="203" t="s">
        <v>1615</v>
      </c>
      <c r="B1027" s="203" t="s">
        <v>4970</v>
      </c>
      <c r="C1027" s="200">
        <f>COUNTIF(単語!G:L,単語辞書!A1027)</f>
        <v>4</v>
      </c>
      <c r="D1027" s="202"/>
      <c r="E1027" s="200" t="s">
        <v>1419</v>
      </c>
      <c r="F1027" s="79"/>
    </row>
    <row r="1028" spans="1:6" ht="13.5">
      <c r="A1028" s="203" t="s">
        <v>1613</v>
      </c>
      <c r="B1028" s="203" t="s">
        <v>4969</v>
      </c>
      <c r="C1028" s="200">
        <f>COUNTIF(単語!G:L,単語辞書!A1028)</f>
        <v>1</v>
      </c>
      <c r="D1028" s="209" t="s">
        <v>4968</v>
      </c>
      <c r="E1028" s="200" t="s">
        <v>1419</v>
      </c>
      <c r="F1028" s="79"/>
    </row>
    <row r="1029" spans="1:6" ht="13.5">
      <c r="A1029" s="203" t="s">
        <v>1608</v>
      </c>
      <c r="B1029" s="203" t="s">
        <v>4967</v>
      </c>
      <c r="C1029" s="200">
        <f>COUNTIF(単語!G:L,単語辞書!A1029)</f>
        <v>2</v>
      </c>
      <c r="D1029" s="209"/>
      <c r="E1029" s="200" t="s">
        <v>1419</v>
      </c>
      <c r="F1029" s="79"/>
    </row>
    <row r="1030" spans="1:6" ht="13.5">
      <c r="A1030" s="203" t="s">
        <v>1597</v>
      </c>
      <c r="B1030" s="203" t="s">
        <v>4966</v>
      </c>
      <c r="C1030" s="200">
        <f>COUNTIF(単語!G:L,単語辞書!A1030)</f>
        <v>2</v>
      </c>
      <c r="D1030" s="202"/>
      <c r="E1030" s="200" t="s">
        <v>1419</v>
      </c>
      <c r="F1030" s="79"/>
    </row>
    <row r="1031" spans="1:6" ht="13.5">
      <c r="A1031" s="203" t="s">
        <v>1599</v>
      </c>
      <c r="B1031" s="203" t="s">
        <v>4965</v>
      </c>
      <c r="C1031" s="200">
        <f>COUNTIF(単語!G:L,単語辞書!A1031)</f>
        <v>1</v>
      </c>
      <c r="D1031" s="202"/>
      <c r="E1031" s="200" t="s">
        <v>1419</v>
      </c>
      <c r="F1031" s="79"/>
    </row>
    <row r="1032" spans="1:6" ht="13.5">
      <c r="A1032" s="203" t="s">
        <v>1466</v>
      </c>
      <c r="B1032" s="203" t="s">
        <v>4964</v>
      </c>
      <c r="C1032" s="200">
        <f>COUNTIF(単語!G:L,単語辞書!A1032)</f>
        <v>8</v>
      </c>
      <c r="D1032" s="202"/>
      <c r="E1032" s="200" t="s">
        <v>1419</v>
      </c>
      <c r="F1032" s="79"/>
    </row>
    <row r="1033" spans="1:6" ht="13.5">
      <c r="A1033" s="203" t="s">
        <v>4963</v>
      </c>
      <c r="B1033" s="203" t="s">
        <v>4962</v>
      </c>
      <c r="C1033" s="200">
        <f>COUNTIF(単語!G:L,単語辞書!A1033)</f>
        <v>5</v>
      </c>
      <c r="D1033" s="202"/>
      <c r="E1033" s="200" t="s">
        <v>1419</v>
      </c>
      <c r="F1033" s="79"/>
    </row>
    <row r="1034" spans="1:6" ht="13.5">
      <c r="A1034" s="203" t="s">
        <v>1439</v>
      </c>
      <c r="B1034" s="203" t="s">
        <v>4961</v>
      </c>
      <c r="C1034" s="200">
        <f>COUNTIF(単語!G:L,単語辞書!A1034)</f>
        <v>28</v>
      </c>
      <c r="D1034" s="202"/>
      <c r="E1034" s="200" t="s">
        <v>1419</v>
      </c>
      <c r="F1034" s="79"/>
    </row>
    <row r="1035" spans="1:6" ht="13.5">
      <c r="A1035" s="203" t="s">
        <v>4960</v>
      </c>
      <c r="B1035" s="203" t="s">
        <v>4959</v>
      </c>
      <c r="C1035" s="200">
        <f>COUNTIF(単語!G:L,単語辞書!A1035)</f>
        <v>4</v>
      </c>
      <c r="D1035" s="202"/>
      <c r="E1035" s="200" t="s">
        <v>1419</v>
      </c>
      <c r="F1035" s="79"/>
    </row>
    <row r="1036" spans="1:6" ht="13.5">
      <c r="A1036" s="203" t="s">
        <v>1514</v>
      </c>
      <c r="B1036" s="203" t="s">
        <v>4958</v>
      </c>
      <c r="C1036" s="200">
        <f>COUNTIF(単語!G:L,単語辞書!A1036)</f>
        <v>1</v>
      </c>
      <c r="D1036" s="202"/>
      <c r="E1036" s="200" t="s">
        <v>1419</v>
      </c>
      <c r="F1036" s="79"/>
    </row>
    <row r="1037" spans="1:6" ht="13.5">
      <c r="A1037" s="203" t="s">
        <v>1497</v>
      </c>
      <c r="B1037" s="203" t="s">
        <v>4957</v>
      </c>
      <c r="C1037" s="200">
        <f>COUNTIF(単語!G:L,単語辞書!A1037)</f>
        <v>3</v>
      </c>
      <c r="D1037" s="202" t="s">
        <v>4956</v>
      </c>
      <c r="E1037" s="200" t="s">
        <v>1419</v>
      </c>
      <c r="F1037" s="79"/>
    </row>
    <row r="1038" spans="1:6" ht="13.5">
      <c r="A1038" s="203" t="s">
        <v>1417</v>
      </c>
      <c r="B1038" s="203" t="s">
        <v>4955</v>
      </c>
      <c r="C1038" s="200">
        <f>COUNTIF(単語!G:L,単語辞書!A1038)</f>
        <v>2</v>
      </c>
      <c r="D1038" s="202"/>
      <c r="E1038" s="200" t="s">
        <v>1767</v>
      </c>
      <c r="F1038" s="79"/>
    </row>
    <row r="1039" spans="1:6" ht="13.5">
      <c r="A1039" s="203" t="s">
        <v>4954</v>
      </c>
      <c r="B1039" s="203" t="s">
        <v>4953</v>
      </c>
      <c r="C1039" s="200">
        <f>COUNTIF(単語!G:L,単語辞書!A1039)</f>
        <v>2</v>
      </c>
      <c r="D1039" s="202"/>
      <c r="E1039" s="200" t="s">
        <v>365</v>
      </c>
      <c r="F1039" s="79"/>
    </row>
    <row r="1040" spans="1:6" ht="13.5">
      <c r="A1040" s="203" t="s">
        <v>1405</v>
      </c>
      <c r="B1040" s="203" t="s">
        <v>1235</v>
      </c>
      <c r="C1040" s="200">
        <f>COUNTIF(単語!G:L,単語辞書!A1040)</f>
        <v>3</v>
      </c>
      <c r="D1040" s="202"/>
      <c r="E1040" s="200" t="s">
        <v>231</v>
      </c>
      <c r="F1040" s="79"/>
    </row>
    <row r="1041" spans="1:6" ht="13.5">
      <c r="A1041" s="203" t="s">
        <v>1426</v>
      </c>
      <c r="B1041" s="203" t="s">
        <v>4952</v>
      </c>
      <c r="C1041" s="200">
        <f>COUNTIF(単語!G:L,単語辞書!A1041)</f>
        <v>3</v>
      </c>
      <c r="D1041" s="202"/>
      <c r="E1041" s="200" t="s">
        <v>1443</v>
      </c>
      <c r="F1041" s="79"/>
    </row>
    <row r="1042" spans="1:6" ht="13.5">
      <c r="A1042" s="203" t="s">
        <v>1440</v>
      </c>
      <c r="B1042" s="203" t="s">
        <v>4951</v>
      </c>
      <c r="C1042" s="200">
        <f>COUNTIF(単語!G:L,単語辞書!A1042)</f>
        <v>14</v>
      </c>
      <c r="D1042" s="202" t="s">
        <v>4950</v>
      </c>
      <c r="E1042" s="200" t="s">
        <v>1459</v>
      </c>
      <c r="F1042" s="79"/>
    </row>
    <row r="1043" spans="1:6" ht="13.5">
      <c r="A1043" s="203" t="s">
        <v>952</v>
      </c>
      <c r="B1043" s="203" t="s">
        <v>952</v>
      </c>
      <c r="C1043" s="200">
        <f>COUNTIF(単語!G:L,単語辞書!A1043)</f>
        <v>2</v>
      </c>
      <c r="D1043" s="202"/>
      <c r="E1043" s="200" t="s">
        <v>1459</v>
      </c>
      <c r="F1043" s="79"/>
    </row>
    <row r="1044" spans="1:6" ht="13.5">
      <c r="A1044" s="203" t="s">
        <v>950</v>
      </c>
      <c r="B1044" s="203" t="s">
        <v>950</v>
      </c>
      <c r="C1044" s="200">
        <f>COUNTIF(単語!G:L,単語辞書!A1044)</f>
        <v>2</v>
      </c>
      <c r="D1044" s="202"/>
      <c r="E1044" s="200" t="s">
        <v>1459</v>
      </c>
      <c r="F1044" s="79"/>
    </row>
    <row r="1045" spans="1:6" ht="13.5">
      <c r="A1045" s="203" t="s">
        <v>947</v>
      </c>
      <c r="B1045" s="203" t="s">
        <v>947</v>
      </c>
      <c r="C1045" s="200">
        <f>COUNTIF(単語!G:L,単語辞書!A1045)</f>
        <v>6</v>
      </c>
      <c r="D1045" s="202"/>
      <c r="E1045" s="200" t="s">
        <v>1459</v>
      </c>
      <c r="F1045" s="79"/>
    </row>
    <row r="1046" spans="1:6" ht="13.5">
      <c r="A1046" s="203" t="s">
        <v>1456</v>
      </c>
      <c r="B1046" s="203" t="s">
        <v>4949</v>
      </c>
      <c r="C1046" s="200">
        <f>COUNTIF(単語!G:L,単語辞書!A1046)</f>
        <v>1</v>
      </c>
      <c r="D1046" s="202"/>
      <c r="E1046" s="200" t="s">
        <v>541</v>
      </c>
      <c r="F1046" s="79"/>
    </row>
    <row r="1047" spans="1:6" ht="13.5">
      <c r="A1047" s="203" t="s">
        <v>1378</v>
      </c>
      <c r="B1047" s="203" t="s">
        <v>4948</v>
      </c>
      <c r="C1047" s="200">
        <f>COUNTIF(単語!G:L,単語辞書!A1047)</f>
        <v>12</v>
      </c>
      <c r="D1047" s="202" t="s">
        <v>4947</v>
      </c>
      <c r="E1047" s="200" t="s">
        <v>4818</v>
      </c>
      <c r="F1047" s="79"/>
    </row>
    <row r="1048" spans="1:6" ht="13.5">
      <c r="A1048" s="203" t="s">
        <v>4946</v>
      </c>
      <c r="B1048" s="203" t="s">
        <v>4945</v>
      </c>
      <c r="C1048" s="200">
        <f>COUNTIF(単語!G:L,単語辞書!A1048)</f>
        <v>0</v>
      </c>
      <c r="D1048" s="202"/>
      <c r="E1048" s="200" t="s">
        <v>4818</v>
      </c>
      <c r="F1048" s="79"/>
    </row>
    <row r="1049" spans="1:6" ht="13.5">
      <c r="A1049" s="203" t="s">
        <v>4944</v>
      </c>
      <c r="B1049" s="203" t="s">
        <v>4943</v>
      </c>
      <c r="C1049" s="200">
        <f>COUNTIF(単語!G:L,単語辞書!A1049)</f>
        <v>0</v>
      </c>
      <c r="D1049" s="202"/>
      <c r="E1049" s="200" t="s">
        <v>4818</v>
      </c>
      <c r="F1049" s="79"/>
    </row>
    <row r="1050" spans="1:6" ht="13.5">
      <c r="A1050" s="203" t="s">
        <v>4942</v>
      </c>
      <c r="B1050" s="203" t="s">
        <v>4941</v>
      </c>
      <c r="C1050" s="200">
        <f>COUNTIF(単語!G:L,単語辞書!A1050)</f>
        <v>1</v>
      </c>
      <c r="D1050" s="202"/>
      <c r="E1050" s="200" t="s">
        <v>4818</v>
      </c>
      <c r="F1050" s="79"/>
    </row>
    <row r="1051" spans="1:6" ht="13.5">
      <c r="A1051" s="203" t="s">
        <v>4940</v>
      </c>
      <c r="B1051" s="203" t="s">
        <v>4939</v>
      </c>
      <c r="C1051" s="200">
        <f>COUNTIF(単語!G:L,単語辞書!A1051)</f>
        <v>10</v>
      </c>
      <c r="D1051" s="202"/>
      <c r="E1051" s="200" t="s">
        <v>4818</v>
      </c>
      <c r="F1051" s="79"/>
    </row>
    <row r="1052" spans="1:6" ht="13.5">
      <c r="A1052" s="203" t="s">
        <v>4938</v>
      </c>
      <c r="B1052" s="203" t="s">
        <v>4937</v>
      </c>
      <c r="C1052" s="200">
        <f>COUNTIF(単語!G:L,単語辞書!A1052)</f>
        <v>1</v>
      </c>
      <c r="D1052" s="202"/>
      <c r="E1052" s="200" t="s">
        <v>4818</v>
      </c>
      <c r="F1052" s="79"/>
    </row>
    <row r="1053" spans="1:6" ht="13.5">
      <c r="A1053" s="203" t="s">
        <v>4936</v>
      </c>
      <c r="B1053" s="203" t="s">
        <v>4935</v>
      </c>
      <c r="C1053" s="200">
        <f>COUNTIF(単語!G:L,単語辞書!A1053)</f>
        <v>7</v>
      </c>
      <c r="D1053" s="202"/>
      <c r="E1053" s="200" t="s">
        <v>4818</v>
      </c>
      <c r="F1053" s="79"/>
    </row>
    <row r="1054" spans="1:6" ht="13.5">
      <c r="A1054" s="203" t="s">
        <v>1283</v>
      </c>
      <c r="B1054" s="203" t="s">
        <v>4934</v>
      </c>
      <c r="C1054" s="200">
        <f>COUNTIF(単語!G:L,単語辞書!A1054)</f>
        <v>7</v>
      </c>
      <c r="D1054" s="202"/>
      <c r="E1054" s="200" t="s">
        <v>4818</v>
      </c>
      <c r="F1054" s="79"/>
    </row>
    <row r="1055" spans="1:6" ht="13.5">
      <c r="A1055" s="203" t="s">
        <v>4933</v>
      </c>
      <c r="B1055" s="203" t="s">
        <v>4932</v>
      </c>
      <c r="C1055" s="200">
        <f>COUNTIF(単語!G:L,単語辞書!A1055)</f>
        <v>1</v>
      </c>
      <c r="D1055" s="202"/>
      <c r="E1055" s="200" t="s">
        <v>4818</v>
      </c>
      <c r="F1055" s="79"/>
    </row>
    <row r="1056" spans="1:6" ht="13.5">
      <c r="A1056" s="203" t="s">
        <v>1335</v>
      </c>
      <c r="B1056" s="203" t="s">
        <v>4931</v>
      </c>
      <c r="C1056" s="200">
        <f>COUNTIF(単語!G:L,単語辞書!A1056)</f>
        <v>1</v>
      </c>
      <c r="D1056" s="202"/>
      <c r="E1056" s="200" t="s">
        <v>4818</v>
      </c>
      <c r="F1056" s="79"/>
    </row>
    <row r="1057" spans="1:6" ht="13.5">
      <c r="A1057" s="203" t="s">
        <v>1371</v>
      </c>
      <c r="B1057" s="203" t="s">
        <v>4930</v>
      </c>
      <c r="C1057" s="200">
        <f>COUNTIF(単語!G:L,単語辞書!A1057)</f>
        <v>1</v>
      </c>
      <c r="D1057" s="202"/>
      <c r="E1057" s="200" t="s">
        <v>4818</v>
      </c>
      <c r="F1057" s="79"/>
    </row>
    <row r="1058" spans="1:6" ht="13.5">
      <c r="A1058" s="203" t="s">
        <v>4929</v>
      </c>
      <c r="B1058" s="203" t="s">
        <v>4928</v>
      </c>
      <c r="C1058" s="200">
        <f>COUNTIF(単語!G:L,単語辞書!A1058)</f>
        <v>2</v>
      </c>
      <c r="D1058" s="202" t="s">
        <v>4927</v>
      </c>
      <c r="E1058" s="200" t="s">
        <v>4818</v>
      </c>
      <c r="F1058" s="79"/>
    </row>
    <row r="1059" spans="1:6" ht="13.5">
      <c r="A1059" s="203" t="s">
        <v>4926</v>
      </c>
      <c r="B1059" s="203" t="s">
        <v>4925</v>
      </c>
      <c r="C1059" s="200">
        <f>COUNTIF(単語!G:L,単語辞書!A1059)</f>
        <v>1</v>
      </c>
      <c r="D1059" s="202"/>
      <c r="E1059" s="200" t="s">
        <v>4818</v>
      </c>
      <c r="F1059" s="79"/>
    </row>
    <row r="1060" spans="1:6" ht="13.5">
      <c r="A1060" s="203" t="s">
        <v>1307</v>
      </c>
      <c r="B1060" s="203" t="s">
        <v>4924</v>
      </c>
      <c r="C1060" s="200">
        <f>COUNTIF(単語!G:L,単語辞書!A1060)</f>
        <v>1</v>
      </c>
      <c r="D1060" s="202"/>
      <c r="E1060" s="200" t="s">
        <v>4818</v>
      </c>
      <c r="F1060" s="79"/>
    </row>
    <row r="1061" spans="1:6" ht="13.5">
      <c r="A1061" s="203" t="s">
        <v>1304</v>
      </c>
      <c r="B1061" s="203" t="s">
        <v>4923</v>
      </c>
      <c r="C1061" s="200">
        <f>COUNTIF(単語!G:L,単語辞書!A1061)</f>
        <v>1</v>
      </c>
      <c r="D1061" s="202"/>
      <c r="E1061" s="200" t="s">
        <v>4818</v>
      </c>
      <c r="F1061" s="79"/>
    </row>
    <row r="1062" spans="1:6" ht="13.5">
      <c r="A1062" s="203" t="s">
        <v>1291</v>
      </c>
      <c r="B1062" s="203" t="s">
        <v>4922</v>
      </c>
      <c r="C1062" s="200">
        <f>COUNTIF(単語!G:L,単語辞書!A1062)</f>
        <v>2</v>
      </c>
      <c r="D1062" s="202"/>
      <c r="E1062" s="200" t="s">
        <v>4818</v>
      </c>
      <c r="F1062" s="79"/>
    </row>
    <row r="1063" spans="1:6" ht="13.5">
      <c r="A1063" s="203" t="s">
        <v>1290</v>
      </c>
      <c r="B1063" s="203" t="s">
        <v>4921</v>
      </c>
      <c r="C1063" s="200">
        <f>COUNTIF(単語!G:L,単語辞書!A1063)</f>
        <v>1</v>
      </c>
      <c r="D1063" s="202"/>
      <c r="E1063" s="200" t="s">
        <v>4818</v>
      </c>
      <c r="F1063" s="79"/>
    </row>
    <row r="1064" spans="1:6" ht="13.5">
      <c r="A1064" s="203" t="s">
        <v>1266</v>
      </c>
      <c r="B1064" s="203" t="s">
        <v>4920</v>
      </c>
      <c r="C1064" s="200">
        <f>COUNTIF(単語!G:L,単語辞書!A1064)</f>
        <v>1</v>
      </c>
      <c r="D1064" s="202"/>
      <c r="E1064" s="200" t="s">
        <v>4818</v>
      </c>
      <c r="F1064" s="79"/>
    </row>
    <row r="1065" spans="1:6" ht="13.5">
      <c r="A1065" s="203" t="s">
        <v>1278</v>
      </c>
      <c r="B1065" s="203" t="s">
        <v>4919</v>
      </c>
      <c r="C1065" s="200">
        <f>COUNTIF(単語!G:L,単語辞書!A1065)</f>
        <v>1</v>
      </c>
      <c r="D1065" s="202"/>
      <c r="E1065" s="200" t="s">
        <v>4818</v>
      </c>
      <c r="F1065" s="79"/>
    </row>
    <row r="1066" spans="1:6" ht="13.5">
      <c r="A1066" s="203" t="s">
        <v>1275</v>
      </c>
      <c r="B1066" s="203" t="s">
        <v>4918</v>
      </c>
      <c r="C1066" s="200">
        <f>COUNTIF(単語!G:L,単語辞書!A1066)</f>
        <v>1</v>
      </c>
      <c r="D1066" s="202"/>
      <c r="E1066" s="200" t="s">
        <v>4818</v>
      </c>
      <c r="F1066" s="79"/>
    </row>
    <row r="1067" spans="1:6" ht="13.5">
      <c r="A1067" s="204" t="s">
        <v>1252</v>
      </c>
      <c r="B1067" s="203" t="s">
        <v>4917</v>
      </c>
      <c r="C1067" s="200">
        <f>COUNTIF(単語!G:L,単語辞書!A1067)</f>
        <v>1</v>
      </c>
      <c r="D1067" s="202"/>
      <c r="E1067" s="200" t="s">
        <v>4818</v>
      </c>
      <c r="F1067" s="79"/>
    </row>
    <row r="1068" spans="1:6" ht="13.5">
      <c r="A1068" s="204" t="s">
        <v>1242</v>
      </c>
      <c r="B1068" s="203" t="s">
        <v>4916</v>
      </c>
      <c r="C1068" s="200">
        <f>COUNTIF(単語!G:L,単語辞書!A1068)</f>
        <v>2</v>
      </c>
      <c r="D1068" s="202"/>
      <c r="E1068" s="200" t="s">
        <v>4818</v>
      </c>
      <c r="F1068" s="79"/>
    </row>
    <row r="1069" spans="1:6" ht="13.5">
      <c r="A1069" s="204" t="s">
        <v>4915</v>
      </c>
      <c r="B1069" s="203" t="s">
        <v>4914</v>
      </c>
      <c r="C1069" s="200">
        <f>COUNTIF(単語!G:L,単語辞書!A1069)</f>
        <v>3</v>
      </c>
      <c r="D1069" s="202"/>
      <c r="E1069" s="200" t="s">
        <v>4818</v>
      </c>
      <c r="F1069" s="79"/>
    </row>
    <row r="1070" spans="1:6" ht="13.5">
      <c r="A1070" s="204" t="s">
        <v>4913</v>
      </c>
      <c r="B1070" s="203" t="s">
        <v>4912</v>
      </c>
      <c r="C1070" s="200">
        <f>COUNTIF(単語!G:L,単語辞書!A1070)</f>
        <v>1</v>
      </c>
      <c r="D1070" s="202"/>
      <c r="E1070" s="200" t="s">
        <v>4818</v>
      </c>
      <c r="F1070" s="79"/>
    </row>
    <row r="1071" spans="1:6" ht="13.5">
      <c r="A1071" s="204" t="s">
        <v>4911</v>
      </c>
      <c r="B1071" s="203" t="s">
        <v>4910</v>
      </c>
      <c r="C1071" s="200">
        <f>COUNTIF(単語!G:L,単語辞書!A1071)</f>
        <v>1</v>
      </c>
      <c r="D1071" s="202"/>
      <c r="E1071" s="200" t="s">
        <v>4818</v>
      </c>
      <c r="F1071" s="79"/>
    </row>
    <row r="1072" spans="1:6" ht="13.5">
      <c r="A1072" s="204" t="s">
        <v>1233</v>
      </c>
      <c r="B1072" s="203" t="s">
        <v>4909</v>
      </c>
      <c r="C1072" s="200">
        <f>COUNTIF(単語!G:L,単語辞書!A1072)</f>
        <v>1</v>
      </c>
      <c r="D1072" s="202"/>
      <c r="E1072" s="200" t="s">
        <v>4818</v>
      </c>
      <c r="F1072" s="79"/>
    </row>
    <row r="1073" spans="1:6" ht="13.5">
      <c r="A1073" s="204" t="s">
        <v>340</v>
      </c>
      <c r="B1073" s="203" t="s">
        <v>4865</v>
      </c>
      <c r="C1073" s="200">
        <f>COUNTIF(単語!G:L,単語辞書!A1073)</f>
        <v>9</v>
      </c>
      <c r="D1073" s="202"/>
      <c r="E1073" s="200" t="s">
        <v>4818</v>
      </c>
      <c r="F1073" s="79"/>
    </row>
    <row r="1074" spans="1:6" ht="13.5">
      <c r="A1074" s="204" t="s">
        <v>1225</v>
      </c>
      <c r="B1074" s="203" t="s">
        <v>4908</v>
      </c>
      <c r="C1074" s="200">
        <f>COUNTIF(単語!G:L,単語辞書!A1074)</f>
        <v>1</v>
      </c>
      <c r="D1074" s="202"/>
      <c r="E1074" s="200" t="s">
        <v>4818</v>
      </c>
      <c r="F1074" s="79"/>
    </row>
    <row r="1075" spans="1:6" ht="13.5">
      <c r="A1075" s="204" t="s">
        <v>1223</v>
      </c>
      <c r="B1075" s="203" t="s">
        <v>4907</v>
      </c>
      <c r="C1075" s="200">
        <f>COUNTIF(単語!G:L,単語辞書!A1075)</f>
        <v>1</v>
      </c>
      <c r="D1075" s="202"/>
      <c r="E1075" s="200" t="s">
        <v>4818</v>
      </c>
      <c r="F1075" s="79"/>
    </row>
    <row r="1076" spans="1:6" ht="13.5">
      <c r="A1076" s="204" t="s">
        <v>1219</v>
      </c>
      <c r="B1076" s="203" t="s">
        <v>4906</v>
      </c>
      <c r="C1076" s="200">
        <f>COUNTIF(単語!G:L,単語辞書!A1076)</f>
        <v>1</v>
      </c>
      <c r="D1076" s="202"/>
      <c r="E1076" s="200" t="s">
        <v>4818</v>
      </c>
      <c r="F1076" s="79"/>
    </row>
    <row r="1077" spans="1:6" ht="13.5">
      <c r="A1077" s="204" t="s">
        <v>4905</v>
      </c>
      <c r="B1077" s="203" t="s">
        <v>4904</v>
      </c>
      <c r="C1077" s="200">
        <f>COUNTIF(単語!G:L,単語辞書!A1077)</f>
        <v>1</v>
      </c>
      <c r="D1077" s="202"/>
      <c r="E1077" s="200" t="s">
        <v>4818</v>
      </c>
      <c r="F1077" s="79"/>
    </row>
    <row r="1078" spans="1:6" ht="13.5">
      <c r="A1078" s="204" t="s">
        <v>4903</v>
      </c>
      <c r="B1078" s="203" t="s">
        <v>4902</v>
      </c>
      <c r="C1078" s="200">
        <f>COUNTIF(単語!G:L,単語辞書!A1078)</f>
        <v>1</v>
      </c>
      <c r="D1078" s="202"/>
      <c r="E1078" s="200" t="s">
        <v>4818</v>
      </c>
      <c r="F1078" s="79"/>
    </row>
    <row r="1079" spans="1:6" ht="13.5">
      <c r="A1079" s="204" t="s">
        <v>4901</v>
      </c>
      <c r="B1079" s="203" t="s">
        <v>4900</v>
      </c>
      <c r="C1079" s="200">
        <f>COUNTIF(単語!G:L,単語辞書!A1079)</f>
        <v>1</v>
      </c>
      <c r="D1079" s="202"/>
      <c r="E1079" s="200" t="s">
        <v>4818</v>
      </c>
      <c r="F1079" s="79"/>
    </row>
    <row r="1080" spans="1:6" ht="13.5">
      <c r="A1080" s="204" t="s">
        <v>4899</v>
      </c>
      <c r="B1080" s="203" t="s">
        <v>4898</v>
      </c>
      <c r="C1080" s="200">
        <f>COUNTIF(単語!G:L,単語辞書!A1080)</f>
        <v>1</v>
      </c>
      <c r="D1080" s="202"/>
      <c r="E1080" s="200" t="s">
        <v>4818</v>
      </c>
      <c r="F1080" s="79"/>
    </row>
    <row r="1081" spans="1:6" ht="13.5">
      <c r="A1081" s="204" t="s">
        <v>4897</v>
      </c>
      <c r="B1081" s="203" t="s">
        <v>4896</v>
      </c>
      <c r="C1081" s="200">
        <f>COUNTIF(単語!G:L,単語辞書!A1081)</f>
        <v>2</v>
      </c>
      <c r="D1081" s="202"/>
      <c r="E1081" s="200" t="s">
        <v>4818</v>
      </c>
      <c r="F1081" s="79"/>
    </row>
    <row r="1082" spans="1:6" ht="13.5">
      <c r="A1082" s="204" t="s">
        <v>1027</v>
      </c>
      <c r="B1082" s="203" t="s">
        <v>4895</v>
      </c>
      <c r="C1082" s="200">
        <f>COUNTIF(単語!G:L,単語辞書!A1082)</f>
        <v>3</v>
      </c>
      <c r="D1082" s="202"/>
      <c r="E1082" s="200" t="s">
        <v>4818</v>
      </c>
      <c r="F1082" s="79"/>
    </row>
    <row r="1083" spans="1:6" ht="13.5">
      <c r="A1083" s="204" t="s">
        <v>4894</v>
      </c>
      <c r="B1083" s="203" t="s">
        <v>4893</v>
      </c>
      <c r="C1083" s="200">
        <f>COUNTIF(単語!G:L,単語辞書!A1083)</f>
        <v>1</v>
      </c>
      <c r="D1083" s="202"/>
      <c r="E1083" s="200" t="s">
        <v>4818</v>
      </c>
      <c r="F1083" s="79"/>
    </row>
    <row r="1084" spans="1:6" ht="13.5">
      <c r="A1084" s="204" t="s">
        <v>249</v>
      </c>
      <c r="B1084" s="203" t="s">
        <v>4892</v>
      </c>
      <c r="C1084" s="200">
        <f>COUNTIF(単語!G:L,単語辞書!A1084)</f>
        <v>3</v>
      </c>
      <c r="D1084" s="202"/>
      <c r="E1084" s="200" t="s">
        <v>4818</v>
      </c>
      <c r="F1084" s="79"/>
    </row>
    <row r="1085" spans="1:6" ht="13.5">
      <c r="A1085" s="204" t="s">
        <v>247</v>
      </c>
      <c r="B1085" s="203" t="s">
        <v>4891</v>
      </c>
      <c r="C1085" s="200">
        <f>COUNTIF(単語!G:L,単語辞書!A1085)</f>
        <v>2</v>
      </c>
      <c r="D1085" s="202"/>
      <c r="E1085" s="200" t="s">
        <v>4818</v>
      </c>
      <c r="F1085" s="79"/>
    </row>
    <row r="1086" spans="1:6" ht="13.5">
      <c r="A1086" s="204" t="s">
        <v>1183</v>
      </c>
      <c r="B1086" s="203" t="s">
        <v>4890</v>
      </c>
      <c r="C1086" s="200">
        <f>COUNTIF(単語!G:L,単語辞書!A1086)</f>
        <v>1</v>
      </c>
      <c r="D1086" s="202"/>
      <c r="E1086" s="200" t="s">
        <v>4818</v>
      </c>
      <c r="F1086" s="79"/>
    </row>
    <row r="1087" spans="1:6" ht="13.5">
      <c r="A1087" s="204" t="s">
        <v>1178</v>
      </c>
      <c r="B1087" s="203" t="s">
        <v>4889</v>
      </c>
      <c r="C1087" s="200">
        <f>COUNTIF(単語!G:L,単語辞書!A1087)</f>
        <v>1</v>
      </c>
      <c r="D1087" s="202"/>
      <c r="E1087" s="200" t="s">
        <v>4818</v>
      </c>
      <c r="F1087" s="79"/>
    </row>
    <row r="1088" spans="1:6" ht="13.5">
      <c r="A1088" s="204" t="s">
        <v>1168</v>
      </c>
      <c r="B1088" s="203" t="s">
        <v>4888</v>
      </c>
      <c r="C1088" s="200">
        <f>COUNTIF(単語!G:L,単語辞書!A1088)</f>
        <v>6</v>
      </c>
      <c r="D1088" s="202"/>
      <c r="E1088" s="200" t="s">
        <v>4818</v>
      </c>
      <c r="F1088" s="79"/>
    </row>
    <row r="1089" spans="1:6" ht="13.5">
      <c r="A1089" s="204" t="s">
        <v>1166</v>
      </c>
      <c r="B1089" s="203" t="s">
        <v>4887</v>
      </c>
      <c r="C1089" s="200">
        <f>COUNTIF(単語!G:L,単語辞書!A1089)</f>
        <v>2</v>
      </c>
      <c r="D1089" s="202"/>
      <c r="E1089" s="200" t="s">
        <v>4818</v>
      </c>
      <c r="F1089" s="79"/>
    </row>
    <row r="1090" spans="1:6" ht="13.5">
      <c r="A1090" s="204" t="s">
        <v>4886</v>
      </c>
      <c r="B1090" s="203" t="s">
        <v>4885</v>
      </c>
      <c r="C1090" s="200">
        <f>COUNTIF(単語!G:L,単語辞書!A1090)</f>
        <v>4</v>
      </c>
      <c r="D1090" s="202"/>
      <c r="E1090" s="200" t="s">
        <v>4818</v>
      </c>
      <c r="F1090" s="79"/>
    </row>
    <row r="1091" spans="1:6" ht="13.5">
      <c r="A1091" s="204" t="s">
        <v>1159</v>
      </c>
      <c r="B1091" s="203" t="s">
        <v>4884</v>
      </c>
      <c r="C1091" s="200">
        <f>COUNTIF(単語!G:L,単語辞書!A1091)</f>
        <v>1</v>
      </c>
      <c r="D1091" s="202"/>
      <c r="E1091" s="200" t="s">
        <v>4818</v>
      </c>
      <c r="F1091" s="79"/>
    </row>
    <row r="1092" spans="1:6" ht="13.5">
      <c r="A1092" s="204" t="s">
        <v>925</v>
      </c>
      <c r="B1092" s="203" t="s">
        <v>4883</v>
      </c>
      <c r="C1092" s="200">
        <f>COUNTIF(単語!G:L,単語辞書!A1092)</f>
        <v>2</v>
      </c>
      <c r="D1092" s="202"/>
      <c r="E1092" s="200" t="s">
        <v>4818</v>
      </c>
      <c r="F1092" s="79"/>
    </row>
    <row r="1093" spans="1:6" ht="13.5">
      <c r="A1093" s="204" t="s">
        <v>259</v>
      </c>
      <c r="B1093" s="203" t="s">
        <v>4882</v>
      </c>
      <c r="C1093" s="200">
        <f>COUNTIF(単語!G:L,単語辞書!A1093)</f>
        <v>2</v>
      </c>
      <c r="D1093" s="202"/>
      <c r="E1093" s="200" t="s">
        <v>4818</v>
      </c>
      <c r="F1093" s="79"/>
    </row>
    <row r="1094" spans="1:6" ht="13.5">
      <c r="A1094" s="204" t="s">
        <v>4881</v>
      </c>
      <c r="B1094" s="203" t="s">
        <v>4880</v>
      </c>
      <c r="C1094" s="200">
        <f>COUNTIF(単語!G:L,単語辞書!A1094)</f>
        <v>2</v>
      </c>
      <c r="D1094" s="202"/>
      <c r="E1094" s="200" t="s">
        <v>4818</v>
      </c>
      <c r="F1094" s="79"/>
    </row>
    <row r="1095" spans="1:6" ht="13.5">
      <c r="A1095" s="204" t="s">
        <v>4879</v>
      </c>
      <c r="B1095" s="203" t="s">
        <v>4878</v>
      </c>
      <c r="C1095" s="200">
        <f>COUNTIF(単語!G:L,単語辞書!A1095)</f>
        <v>1</v>
      </c>
      <c r="D1095" s="202"/>
      <c r="E1095" s="200" t="s">
        <v>4818</v>
      </c>
      <c r="F1095" s="79"/>
    </row>
    <row r="1096" spans="1:6" ht="13.5">
      <c r="A1096" s="204" t="s">
        <v>1021</v>
      </c>
      <c r="B1096" s="203" t="s">
        <v>4877</v>
      </c>
      <c r="C1096" s="200">
        <f>COUNTIF(単語!G:L,単語辞書!A1096)</f>
        <v>3</v>
      </c>
      <c r="D1096" s="202"/>
      <c r="E1096" s="200" t="s">
        <v>4818</v>
      </c>
      <c r="F1096" s="79"/>
    </row>
    <row r="1097" spans="1:6" ht="13.5">
      <c r="A1097" s="204" t="s">
        <v>1121</v>
      </c>
      <c r="B1097" s="203" t="s">
        <v>4876</v>
      </c>
      <c r="C1097" s="200">
        <f>COUNTIF(単語!G:L,単語辞書!A1097)</f>
        <v>1</v>
      </c>
      <c r="D1097" s="202"/>
      <c r="E1097" s="200" t="s">
        <v>4818</v>
      </c>
      <c r="F1097" s="79"/>
    </row>
    <row r="1098" spans="1:6" ht="13.5">
      <c r="A1098" s="204" t="s">
        <v>4875</v>
      </c>
      <c r="B1098" s="203" t="s">
        <v>4874</v>
      </c>
      <c r="C1098" s="200">
        <f>COUNTIF(単語!G:L,単語辞書!A1098)</f>
        <v>1</v>
      </c>
      <c r="D1098" s="202"/>
      <c r="E1098" s="200" t="s">
        <v>4818</v>
      </c>
      <c r="F1098" s="79"/>
    </row>
    <row r="1099" spans="1:6" ht="13.5">
      <c r="A1099" s="204" t="s">
        <v>4873</v>
      </c>
      <c r="B1099" s="203" t="s">
        <v>4872</v>
      </c>
      <c r="C1099" s="200">
        <f>COUNTIF(単語!G:L,単語辞書!A1099)</f>
        <v>1</v>
      </c>
      <c r="D1099" s="202"/>
      <c r="E1099" s="200" t="s">
        <v>4818</v>
      </c>
      <c r="F1099" s="79"/>
    </row>
    <row r="1100" spans="1:6" ht="13.5">
      <c r="A1100" s="204" t="s">
        <v>4871</v>
      </c>
      <c r="B1100" s="203" t="s">
        <v>4870</v>
      </c>
      <c r="C1100" s="200">
        <f>COUNTIF(単語!G:L,単語辞書!A1100)</f>
        <v>1</v>
      </c>
      <c r="D1100" s="202"/>
      <c r="E1100" s="200" t="s">
        <v>4818</v>
      </c>
      <c r="F1100" s="79"/>
    </row>
    <row r="1101" spans="1:6" ht="13.5">
      <c r="A1101" s="204" t="s">
        <v>4869</v>
      </c>
      <c r="B1101" s="203" t="s">
        <v>4868</v>
      </c>
      <c r="C1101" s="200">
        <f>COUNTIF(単語!G:L,単語辞書!A1101)</f>
        <v>1</v>
      </c>
      <c r="D1101" s="202"/>
      <c r="E1101" s="200" t="s">
        <v>4818</v>
      </c>
      <c r="F1101" s="79"/>
    </row>
    <row r="1102" spans="1:6" ht="13.5">
      <c r="A1102" s="204" t="s">
        <v>4867</v>
      </c>
      <c r="B1102" s="203" t="s">
        <v>4866</v>
      </c>
      <c r="C1102" s="200">
        <f>COUNTIF(単語!G:L,単語辞書!A1102)</f>
        <v>1</v>
      </c>
      <c r="D1102" s="202"/>
      <c r="E1102" s="200" t="s">
        <v>4818</v>
      </c>
      <c r="F1102" s="79"/>
    </row>
    <row r="1103" spans="1:6" ht="13.5">
      <c r="A1103" s="204" t="s">
        <v>1090</v>
      </c>
      <c r="B1103" s="203" t="s">
        <v>4858</v>
      </c>
      <c r="C1103" s="200">
        <f>COUNTIF(単語!G:L,単語辞書!A1103)</f>
        <v>1</v>
      </c>
      <c r="D1103" s="202"/>
      <c r="E1103" s="200" t="s">
        <v>4818</v>
      </c>
      <c r="F1103" s="79"/>
    </row>
    <row r="1104" spans="1:6" ht="13.5">
      <c r="A1104" s="204" t="s">
        <v>1087</v>
      </c>
      <c r="B1104" s="203" t="s">
        <v>4865</v>
      </c>
      <c r="C1104" s="200">
        <f>COUNTIF(単語!G:L,単語辞書!A1104)</f>
        <v>1</v>
      </c>
      <c r="D1104" s="202"/>
      <c r="E1104" s="200" t="s">
        <v>4818</v>
      </c>
      <c r="F1104" s="79"/>
    </row>
    <row r="1105" spans="1:6" ht="13.5">
      <c r="A1105" s="204" t="s">
        <v>4864</v>
      </c>
      <c r="B1105" s="203" t="s">
        <v>4863</v>
      </c>
      <c r="C1105" s="200">
        <f>COUNTIF(単語!G:L,単語辞書!A1105)</f>
        <v>1</v>
      </c>
      <c r="D1105" s="202"/>
      <c r="E1105" s="200" t="s">
        <v>4818</v>
      </c>
      <c r="F1105" s="79"/>
    </row>
    <row r="1106" spans="1:6" ht="13.5">
      <c r="A1106" s="204" t="s">
        <v>1112</v>
      </c>
      <c r="B1106" s="203" t="s">
        <v>4862</v>
      </c>
      <c r="C1106" s="200">
        <f>COUNTIF(単語!G:L,単語辞書!A1106)</f>
        <v>1</v>
      </c>
      <c r="D1106" s="202"/>
      <c r="E1106" s="200" t="s">
        <v>4818</v>
      </c>
      <c r="F1106" s="79"/>
    </row>
    <row r="1107" spans="1:6" ht="13.5">
      <c r="A1107" s="204" t="s">
        <v>1016</v>
      </c>
      <c r="B1107" s="203" t="s">
        <v>4861</v>
      </c>
      <c r="C1107" s="200">
        <f>COUNTIF(単語!G:L,単語辞書!A1107)</f>
        <v>2</v>
      </c>
      <c r="D1107" s="202"/>
      <c r="E1107" s="200" t="s">
        <v>4818</v>
      </c>
      <c r="F1107" s="79"/>
    </row>
    <row r="1108" spans="1:6" ht="13.5">
      <c r="A1108" s="204" t="s">
        <v>1012</v>
      </c>
      <c r="B1108" s="203" t="s">
        <v>4860</v>
      </c>
      <c r="C1108" s="200">
        <f>COUNTIF(単語!G:L,単語辞書!A1108)</f>
        <v>2</v>
      </c>
      <c r="D1108" s="202"/>
      <c r="E1108" s="200" t="s">
        <v>4818</v>
      </c>
      <c r="F1108" s="79"/>
    </row>
    <row r="1109" spans="1:6" ht="13.5">
      <c r="A1109" s="204" t="s">
        <v>1108</v>
      </c>
      <c r="B1109" s="203" t="s">
        <v>4859</v>
      </c>
      <c r="C1109" s="200">
        <f>COUNTIF(単語!G:L,単語辞書!A1109)</f>
        <v>1</v>
      </c>
      <c r="D1109" s="202"/>
      <c r="E1109" s="200" t="s">
        <v>4818</v>
      </c>
      <c r="F1109" s="79"/>
    </row>
    <row r="1110" spans="1:6" ht="13.5">
      <c r="A1110" s="204" t="s">
        <v>343</v>
      </c>
      <c r="B1110" s="203" t="s">
        <v>4858</v>
      </c>
      <c r="C1110" s="200">
        <f>COUNTIF(単語!G:L,単語辞書!A1110)</f>
        <v>4</v>
      </c>
      <c r="D1110" s="202"/>
      <c r="E1110" s="200" t="s">
        <v>4818</v>
      </c>
      <c r="F1110" s="79"/>
    </row>
    <row r="1111" spans="1:6" ht="13.5">
      <c r="A1111" s="204" t="s">
        <v>218</v>
      </c>
      <c r="B1111" s="203" t="s">
        <v>4857</v>
      </c>
      <c r="C1111" s="200">
        <f>COUNTIF(単語!G:L,単語辞書!A1111)</f>
        <v>5</v>
      </c>
      <c r="D1111" s="202"/>
      <c r="E1111" s="200" t="s">
        <v>4818</v>
      </c>
      <c r="F1111" s="79"/>
    </row>
    <row r="1112" spans="1:6" ht="13.5">
      <c r="A1112" s="204" t="s">
        <v>1069</v>
      </c>
      <c r="B1112" s="203" t="s">
        <v>4856</v>
      </c>
      <c r="C1112" s="200">
        <f>COUNTIF(単語!G:L,単語辞書!A1112)</f>
        <v>1</v>
      </c>
      <c r="D1112" s="202"/>
      <c r="E1112" s="200" t="s">
        <v>4818</v>
      </c>
      <c r="F1112" s="79"/>
    </row>
    <row r="1113" spans="1:6" ht="13.5">
      <c r="A1113" s="204" t="s">
        <v>1075</v>
      </c>
      <c r="B1113" s="203" t="s">
        <v>4855</v>
      </c>
      <c r="C1113" s="200">
        <f>COUNTIF(単語!G:L,単語辞書!A1113)</f>
        <v>2</v>
      </c>
      <c r="D1113" s="202"/>
      <c r="E1113" s="200" t="s">
        <v>4818</v>
      </c>
      <c r="F1113" s="79"/>
    </row>
    <row r="1114" spans="1:6" ht="13.5">
      <c r="A1114" s="204" t="s">
        <v>4854</v>
      </c>
      <c r="B1114" s="203" t="s">
        <v>4853</v>
      </c>
      <c r="C1114" s="200">
        <f>COUNTIF(単語!G:L,単語辞書!A1114)</f>
        <v>1</v>
      </c>
      <c r="D1114" s="202"/>
      <c r="E1114" s="200" t="s">
        <v>4818</v>
      </c>
      <c r="F1114" s="79"/>
    </row>
    <row r="1115" spans="1:6" ht="13.5">
      <c r="A1115" s="204" t="s">
        <v>1055</v>
      </c>
      <c r="B1115" s="203" t="s">
        <v>4852</v>
      </c>
      <c r="C1115" s="200">
        <f>COUNTIF(単語!G:L,単語辞書!A1115)</f>
        <v>1</v>
      </c>
      <c r="D1115" s="202"/>
      <c r="E1115" s="200" t="s">
        <v>4818</v>
      </c>
      <c r="F1115" s="79"/>
    </row>
    <row r="1116" spans="1:6" ht="13.5">
      <c r="A1116" s="204" t="s">
        <v>1053</v>
      </c>
      <c r="B1116" s="203" t="s">
        <v>4851</v>
      </c>
      <c r="C1116" s="200">
        <f>COUNTIF(単語!G:L,単語辞書!A1116)</f>
        <v>1</v>
      </c>
      <c r="D1116" s="202"/>
      <c r="E1116" s="200" t="s">
        <v>4818</v>
      </c>
      <c r="F1116" s="79"/>
    </row>
    <row r="1117" spans="1:6" ht="13.5">
      <c r="A1117" s="204" t="s">
        <v>1051</v>
      </c>
      <c r="B1117" s="203" t="s">
        <v>4850</v>
      </c>
      <c r="C1117" s="200">
        <f>COUNTIF(単語!G:L,単語辞書!A1117)</f>
        <v>1</v>
      </c>
      <c r="D1117" s="202"/>
      <c r="E1117" s="200" t="s">
        <v>4818</v>
      </c>
      <c r="F1117" s="79"/>
    </row>
    <row r="1118" spans="1:6" ht="13.5">
      <c r="A1118" s="204" t="s">
        <v>1034</v>
      </c>
      <c r="B1118" s="203" t="s">
        <v>4849</v>
      </c>
      <c r="C1118" s="200">
        <f>COUNTIF(単語!G:L,単語辞書!A1118)</f>
        <v>1</v>
      </c>
      <c r="D1118" s="202"/>
      <c r="E1118" s="200" t="s">
        <v>4818</v>
      </c>
      <c r="F1118" s="79"/>
    </row>
    <row r="1119" spans="1:6" ht="13.5">
      <c r="A1119" s="204" t="s">
        <v>1018</v>
      </c>
      <c r="B1119" s="203" t="s">
        <v>4848</v>
      </c>
      <c r="C1119" s="200">
        <f>COUNTIF(単語!G:L,単語辞書!A1119)</f>
        <v>1</v>
      </c>
      <c r="D1119" s="202"/>
      <c r="E1119" s="200" t="s">
        <v>4818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4818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4818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4818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4818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4818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4818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4818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4818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4818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4818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4818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4818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4818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4818</v>
      </c>
      <c r="F1133" s="79"/>
    </row>
    <row r="1134" spans="1:6" ht="13.5">
      <c r="A1134" s="204" t="s">
        <v>957</v>
      </c>
      <c r="B1134" s="203" t="s">
        <v>4847</v>
      </c>
      <c r="C1134" s="200">
        <f>COUNTIF(単語!G:L,単語辞書!A1134)</f>
        <v>1</v>
      </c>
      <c r="D1134" s="202"/>
      <c r="E1134" s="200" t="s">
        <v>4818</v>
      </c>
      <c r="F1134" s="79"/>
    </row>
    <row r="1135" spans="1:6" ht="13.5">
      <c r="A1135" s="204" t="s">
        <v>943</v>
      </c>
      <c r="B1135" s="203" t="s">
        <v>4846</v>
      </c>
      <c r="C1135" s="200">
        <f>COUNTIF(単語!G:L,単語辞書!A1135)</f>
        <v>2</v>
      </c>
      <c r="D1135" s="202"/>
      <c r="E1135" s="200" t="s">
        <v>4818</v>
      </c>
      <c r="F1135" s="79"/>
    </row>
    <row r="1136" spans="1:6" ht="13.5">
      <c r="A1136" s="204" t="s">
        <v>939</v>
      </c>
      <c r="B1136" s="203" t="s">
        <v>4845</v>
      </c>
      <c r="C1136" s="200">
        <f>COUNTIF(単語!G:L,単語辞書!A1136)</f>
        <v>1</v>
      </c>
      <c r="D1136" s="202"/>
      <c r="E1136" s="200" t="s">
        <v>4818</v>
      </c>
      <c r="F1136" s="79"/>
    </row>
    <row r="1137" spans="1:6" ht="13.5">
      <c r="A1137" s="204" t="s">
        <v>937</v>
      </c>
      <c r="B1137" s="203" t="s">
        <v>4844</v>
      </c>
      <c r="C1137" s="200">
        <f>COUNTIF(単語!G:L,単語辞書!A1137)</f>
        <v>1</v>
      </c>
      <c r="D1137" s="202"/>
      <c r="E1137" s="200" t="s">
        <v>4818</v>
      </c>
      <c r="F1137" s="79"/>
    </row>
    <row r="1138" spans="1:6" ht="13.5">
      <c r="A1138" s="204" t="s">
        <v>4843</v>
      </c>
      <c r="B1138" s="203" t="s">
        <v>4842</v>
      </c>
      <c r="C1138" s="200">
        <f>COUNTIF(単語!G:L,単語辞書!A1138)</f>
        <v>1</v>
      </c>
      <c r="D1138" s="202"/>
      <c r="E1138" s="200" t="s">
        <v>4818</v>
      </c>
      <c r="F1138" s="79"/>
    </row>
    <row r="1139" spans="1:6" ht="13.5">
      <c r="A1139" s="204" t="s">
        <v>929</v>
      </c>
      <c r="B1139" s="203" t="s">
        <v>4841</v>
      </c>
      <c r="C1139" s="200">
        <f>COUNTIF(単語!G:L,単語辞書!A1139)</f>
        <v>1</v>
      </c>
      <c r="D1139" s="202"/>
      <c r="E1139" s="200" t="s">
        <v>4818</v>
      </c>
      <c r="F1139" s="79"/>
    </row>
    <row r="1140" spans="1:6" ht="13.5">
      <c r="A1140" s="204" t="s">
        <v>927</v>
      </c>
      <c r="B1140" s="203" t="s">
        <v>4840</v>
      </c>
      <c r="C1140" s="200">
        <f>COUNTIF(単語!G:L,単語辞書!A1140)</f>
        <v>1</v>
      </c>
      <c r="D1140" s="202"/>
      <c r="E1140" s="200" t="s">
        <v>4818</v>
      </c>
      <c r="F1140" s="79"/>
    </row>
    <row r="1141" spans="1:6" ht="13.5">
      <c r="A1141" s="204" t="s">
        <v>904</v>
      </c>
      <c r="B1141" s="203" t="s">
        <v>4839</v>
      </c>
      <c r="C1141" s="200">
        <f>COUNTIF(単語!G:L,単語辞書!A1141)</f>
        <v>1</v>
      </c>
      <c r="D1141" s="202"/>
      <c r="E1141" s="200" t="s">
        <v>4818</v>
      </c>
      <c r="F1141" s="79"/>
    </row>
    <row r="1142" spans="1:6" ht="13.5">
      <c r="A1142" s="204" t="s">
        <v>902</v>
      </c>
      <c r="B1142" s="203" t="s">
        <v>4838</v>
      </c>
      <c r="C1142" s="200">
        <f>COUNTIF(単語!G:L,単語辞書!A1142)</f>
        <v>1</v>
      </c>
      <c r="D1142" s="202"/>
      <c r="E1142" s="200" t="s">
        <v>4818</v>
      </c>
      <c r="F1142" s="79"/>
    </row>
    <row r="1143" spans="1:6" ht="13.5">
      <c r="A1143" s="204" t="s">
        <v>908</v>
      </c>
      <c r="B1143" s="203" t="s">
        <v>4837</v>
      </c>
      <c r="C1143" s="200">
        <f>COUNTIF(単語!G:L,単語辞書!A1143)</f>
        <v>1</v>
      </c>
      <c r="D1143" s="202"/>
      <c r="E1143" s="200" t="s">
        <v>4818</v>
      </c>
      <c r="F1143" s="79"/>
    </row>
    <row r="1144" spans="1:6" ht="13.5">
      <c r="A1144" s="204" t="s">
        <v>914</v>
      </c>
      <c r="B1144" s="203" t="s">
        <v>914</v>
      </c>
      <c r="C1144" s="200">
        <f>COUNTIF(単語!G:L,単語辞書!A1144)</f>
        <v>2</v>
      </c>
      <c r="D1144" s="202"/>
      <c r="E1144" s="200" t="s">
        <v>4818</v>
      </c>
      <c r="F1144" s="79"/>
    </row>
    <row r="1145" spans="1:6" ht="13.5">
      <c r="A1145" s="204" t="s">
        <v>911</v>
      </c>
      <c r="B1145" s="203" t="s">
        <v>911</v>
      </c>
      <c r="C1145" s="200">
        <f>COUNTIF(単語!G:L,単語辞書!A1145)</f>
        <v>2</v>
      </c>
      <c r="D1145" s="202"/>
      <c r="E1145" s="200" t="s">
        <v>4818</v>
      </c>
      <c r="F1145" s="79"/>
    </row>
    <row r="1146" spans="1:6" ht="13.5">
      <c r="A1146" s="204" t="s">
        <v>941</v>
      </c>
      <c r="B1146" s="203" t="s">
        <v>941</v>
      </c>
      <c r="C1146" s="200">
        <f>COUNTIF(単語!G:L,単語辞書!A1146)</f>
        <v>1</v>
      </c>
      <c r="D1146" s="202"/>
      <c r="E1146" s="200" t="s">
        <v>4818</v>
      </c>
      <c r="F1146" s="79"/>
    </row>
    <row r="1147" spans="1:6" ht="13.5">
      <c r="A1147" s="204" t="s">
        <v>933</v>
      </c>
      <c r="B1147" s="203" t="s">
        <v>4836</v>
      </c>
      <c r="C1147" s="200">
        <f>COUNTIF(単語!G:L,単語辞書!A1147)</f>
        <v>2</v>
      </c>
      <c r="D1147" s="202"/>
      <c r="E1147" s="200" t="s">
        <v>4818</v>
      </c>
      <c r="F1147" s="79"/>
    </row>
    <row r="1148" spans="1:6" ht="13.5">
      <c r="A1148" s="204" t="s">
        <v>972</v>
      </c>
      <c r="B1148" s="203" t="s">
        <v>4835</v>
      </c>
      <c r="C1148" s="200">
        <f>COUNTIF(単語!G:L,単語辞書!A1148)</f>
        <v>2</v>
      </c>
      <c r="D1148" s="202"/>
      <c r="E1148" s="200" t="s">
        <v>4818</v>
      </c>
      <c r="F1148" s="79"/>
    </row>
    <row r="1149" spans="1:6" ht="13.5">
      <c r="A1149" s="204" t="s">
        <v>4834</v>
      </c>
      <c r="B1149" s="203" t="s">
        <v>4833</v>
      </c>
      <c r="C1149" s="200">
        <f>COUNTIF(単語!G:L,単語辞書!A1149)</f>
        <v>5</v>
      </c>
      <c r="D1149" s="202"/>
      <c r="E1149" s="200" t="s">
        <v>4818</v>
      </c>
      <c r="F1149" s="79"/>
    </row>
    <row r="1150" spans="1:6" ht="13.5">
      <c r="A1150" s="204" t="s">
        <v>994</v>
      </c>
      <c r="B1150" s="203" t="s">
        <v>4832</v>
      </c>
      <c r="C1150" s="200">
        <f>COUNTIF(単語!G:L,単語辞書!A1150)</f>
        <v>1</v>
      </c>
      <c r="D1150" s="202"/>
      <c r="E1150" s="200" t="s">
        <v>4818</v>
      </c>
      <c r="F1150" s="79"/>
    </row>
    <row r="1151" spans="1:6" ht="13.5">
      <c r="A1151" s="204" t="s">
        <v>4831</v>
      </c>
      <c r="B1151" s="203" t="s">
        <v>4830</v>
      </c>
      <c r="C1151" s="200">
        <f>COUNTIF(単語!G:L,単語辞書!A1151)</f>
        <v>5</v>
      </c>
      <c r="D1151" s="202"/>
      <c r="E1151" s="200" t="s">
        <v>4818</v>
      </c>
      <c r="F1151" s="79"/>
    </row>
    <row r="1152" spans="1:6" ht="13.5">
      <c r="A1152" s="204" t="s">
        <v>4829</v>
      </c>
      <c r="B1152" s="203" t="s">
        <v>4828</v>
      </c>
      <c r="C1152" s="200">
        <f>COUNTIF(単語!G:L,単語辞書!A1152)</f>
        <v>2</v>
      </c>
      <c r="D1152" s="202"/>
      <c r="E1152" s="200" t="s">
        <v>4818</v>
      </c>
      <c r="F1152" s="79"/>
    </row>
    <row r="1153" spans="1:6" ht="13.5">
      <c r="A1153" s="204" t="s">
        <v>4827</v>
      </c>
      <c r="B1153" s="203" t="s">
        <v>4826</v>
      </c>
      <c r="C1153" s="200">
        <f>COUNTIF(単語!G:L,単語辞書!A1153)</f>
        <v>2</v>
      </c>
      <c r="D1153" s="202"/>
      <c r="E1153" s="200" t="s">
        <v>4818</v>
      </c>
      <c r="F1153" s="79"/>
    </row>
    <row r="1154" spans="1:6" ht="13.5">
      <c r="A1154" s="204" t="s">
        <v>4825</v>
      </c>
      <c r="B1154" s="203" t="s">
        <v>4824</v>
      </c>
      <c r="C1154" s="200">
        <f>COUNTIF(単語!G:L,単語辞書!A1154)</f>
        <v>1</v>
      </c>
      <c r="D1154" s="202"/>
      <c r="E1154" s="200" t="s">
        <v>4818</v>
      </c>
      <c r="F1154" s="79"/>
    </row>
    <row r="1155" spans="1:6" ht="13.5">
      <c r="A1155" s="204" t="s">
        <v>4823</v>
      </c>
      <c r="B1155" s="203" t="s">
        <v>4822</v>
      </c>
      <c r="C1155" s="200">
        <f>COUNTIF(単語!G:L,単語辞書!A1155)</f>
        <v>1</v>
      </c>
      <c r="D1155" s="202"/>
      <c r="E1155" s="200" t="s">
        <v>4818</v>
      </c>
      <c r="F1155" s="79"/>
    </row>
    <row r="1156" spans="1:6" ht="13.5">
      <c r="A1156" s="204" t="s">
        <v>968</v>
      </c>
      <c r="B1156" s="203" t="s">
        <v>4821</v>
      </c>
      <c r="C1156" s="200">
        <f>COUNTIF(単語!G:L,単語辞書!A1156)</f>
        <v>1</v>
      </c>
      <c r="D1156" s="202"/>
      <c r="E1156" s="200" t="s">
        <v>4818</v>
      </c>
      <c r="F1156" s="79"/>
    </row>
    <row r="1157" spans="1:6" ht="13.5">
      <c r="A1157" s="204" t="s">
        <v>4820</v>
      </c>
      <c r="B1157" s="203" t="s">
        <v>4819</v>
      </c>
      <c r="C1157" s="200">
        <f>COUNTIF(単語!G:L,単語辞書!A1157)</f>
        <v>1</v>
      </c>
      <c r="D1157" s="202"/>
      <c r="E1157" s="200" t="s">
        <v>4818</v>
      </c>
      <c r="F1157" s="79"/>
    </row>
    <row r="1158" spans="1:6" ht="13.5">
      <c r="A1158" s="204" t="s">
        <v>4817</v>
      </c>
      <c r="B1158" s="203" t="s">
        <v>4816</v>
      </c>
      <c r="C1158" s="200">
        <f>COUNTIF(単語!G:L,単語辞書!A1158)</f>
        <v>1</v>
      </c>
      <c r="D1158" s="202"/>
      <c r="E1158" s="200" t="s">
        <v>4812</v>
      </c>
      <c r="F1158" s="79"/>
    </row>
    <row r="1159" spans="1:6" ht="13.5">
      <c r="A1159" s="204" t="s">
        <v>4815</v>
      </c>
      <c r="B1159" s="203" t="s">
        <v>4815</v>
      </c>
      <c r="C1159" s="200">
        <f>COUNTIF(単語!G:L,単語辞書!A1159)</f>
        <v>1</v>
      </c>
      <c r="D1159" s="202"/>
      <c r="E1159" s="200" t="s">
        <v>4812</v>
      </c>
      <c r="F1159" s="79"/>
    </row>
    <row r="1160" spans="1:6" ht="13.5">
      <c r="A1160" s="105" t="s">
        <v>4814</v>
      </c>
      <c r="B1160" s="203" t="s">
        <v>4813</v>
      </c>
      <c r="C1160" s="200">
        <f>COUNTIF(単語!G:L,単語辞書!A1160)</f>
        <v>1</v>
      </c>
      <c r="D1160" s="202"/>
      <c r="E1160" s="200" t="s">
        <v>4812</v>
      </c>
      <c r="F1160" s="79"/>
    </row>
    <row r="1161" spans="1:6" ht="13.5">
      <c r="A1161" s="204" t="s">
        <v>4811</v>
      </c>
      <c r="B1161" s="203" t="s">
        <v>4810</v>
      </c>
      <c r="C1161" s="200">
        <f>COUNTIF(単語!G:L,単語辞書!A1161)</f>
        <v>3</v>
      </c>
      <c r="D1161" s="202"/>
      <c r="E1161" s="200" t="s">
        <v>4792</v>
      </c>
      <c r="F1161" s="79"/>
    </row>
    <row r="1162" spans="1:6" ht="13.5">
      <c r="A1162" s="204" t="s">
        <v>4809</v>
      </c>
      <c r="B1162" s="203" t="s">
        <v>4808</v>
      </c>
      <c r="C1162" s="200">
        <f>COUNTIF(単語!G:L,単語辞書!A1162)</f>
        <v>1</v>
      </c>
      <c r="D1162" s="202"/>
      <c r="E1162" s="200" t="s">
        <v>4792</v>
      </c>
      <c r="F1162" s="79"/>
    </row>
    <row r="1163" spans="1:6" ht="13.5">
      <c r="A1163" s="204" t="s">
        <v>4807</v>
      </c>
      <c r="B1163" s="203" t="s">
        <v>4806</v>
      </c>
      <c r="C1163" s="200">
        <f>COUNTIF(単語!G:L,単語辞書!A1163)</f>
        <v>1</v>
      </c>
      <c r="D1163" s="202"/>
      <c r="E1163" s="200" t="s">
        <v>4792</v>
      </c>
      <c r="F1163" s="79"/>
    </row>
    <row r="1164" spans="1:6" ht="13.5">
      <c r="A1164" s="204" t="s">
        <v>4805</v>
      </c>
      <c r="B1164" s="203" t="s">
        <v>4804</v>
      </c>
      <c r="C1164" s="200">
        <f>COUNTIF(単語!G:L,単語辞書!A1164)</f>
        <v>5</v>
      </c>
      <c r="D1164" s="202"/>
      <c r="E1164" s="200" t="s">
        <v>4792</v>
      </c>
      <c r="F1164" s="79"/>
    </row>
    <row r="1165" spans="1:6" ht="13.5">
      <c r="A1165" s="204" t="s">
        <v>4803</v>
      </c>
      <c r="B1165" s="204" t="s">
        <v>4803</v>
      </c>
      <c r="C1165" s="200">
        <f>COUNTIF(単語!G:L,単語辞書!A1165)</f>
        <v>1</v>
      </c>
      <c r="D1165" s="202"/>
      <c r="E1165" s="200" t="s">
        <v>4792</v>
      </c>
      <c r="F1165" s="79"/>
    </row>
    <row r="1166" spans="1:6" ht="13.5">
      <c r="A1166" s="204" t="s">
        <v>4802</v>
      </c>
      <c r="B1166" s="203" t="s">
        <v>4801</v>
      </c>
      <c r="C1166" s="200">
        <f>COUNTIF(単語!G:L,単語辞書!A1166)</f>
        <v>3</v>
      </c>
      <c r="D1166" s="202"/>
      <c r="E1166" s="200" t="s">
        <v>4792</v>
      </c>
      <c r="F1166" s="79"/>
    </row>
    <row r="1167" spans="1:6" ht="13.5">
      <c r="A1167" s="204" t="s">
        <v>4800</v>
      </c>
      <c r="B1167" s="203" t="s">
        <v>4799</v>
      </c>
      <c r="C1167" s="200">
        <f>COUNTIF(単語!G:L,単語辞書!A1167)</f>
        <v>1</v>
      </c>
      <c r="D1167" s="202"/>
      <c r="E1167" s="200" t="s">
        <v>4792</v>
      </c>
      <c r="F1167" s="79"/>
    </row>
    <row r="1168" spans="1:6" ht="13.5">
      <c r="A1168" s="204" t="s">
        <v>4798</v>
      </c>
      <c r="B1168" s="203" t="s">
        <v>4797</v>
      </c>
      <c r="C1168" s="200">
        <f>COUNTIF(単語!G:L,単語辞書!A1168)</f>
        <v>2</v>
      </c>
      <c r="D1168" s="202"/>
      <c r="E1168" s="200" t="s">
        <v>4792</v>
      </c>
      <c r="F1168" s="79"/>
    </row>
    <row r="1169" spans="1:6">
      <c r="A1169" s="85" t="s">
        <v>4796</v>
      </c>
      <c r="B1169" s="85" t="s">
        <v>4796</v>
      </c>
      <c r="C1169" s="200">
        <f>COUNTIF(単語!G:L,単語辞書!A1169)</f>
        <v>1</v>
      </c>
      <c r="D1169" s="202"/>
      <c r="E1169" s="200" t="s">
        <v>4792</v>
      </c>
      <c r="F1169" s="79"/>
    </row>
    <row r="1170" spans="1:6" ht="13.5">
      <c r="A1170" s="204" t="s">
        <v>4795</v>
      </c>
      <c r="B1170" s="203" t="s">
        <v>4795</v>
      </c>
      <c r="C1170" s="200">
        <f>COUNTIF(単語!G:L,単語辞書!A1170)</f>
        <v>2</v>
      </c>
      <c r="D1170" s="202"/>
      <c r="E1170" s="200" t="s">
        <v>4792</v>
      </c>
      <c r="F1170" s="79"/>
    </row>
    <row r="1171" spans="1:6" ht="13.5">
      <c r="A1171" s="85" t="s">
        <v>738</v>
      </c>
      <c r="B1171" s="203" t="s">
        <v>4794</v>
      </c>
      <c r="C1171" s="200">
        <f>COUNTIF(単語!G:L,単語辞書!A1171)</f>
        <v>2</v>
      </c>
      <c r="D1171" s="202"/>
      <c r="E1171" s="200" t="s">
        <v>4792</v>
      </c>
      <c r="F1171" s="79"/>
    </row>
    <row r="1172" spans="1:6" ht="13.5">
      <c r="A1172" s="204" t="s">
        <v>736</v>
      </c>
      <c r="B1172" s="207" t="b">
        <v>1</v>
      </c>
      <c r="C1172" s="200">
        <f>COUNTIF(単語!G:L,単語辞書!A1172)</f>
        <v>0</v>
      </c>
      <c r="D1172" s="202"/>
      <c r="E1172" s="200" t="s">
        <v>4792</v>
      </c>
      <c r="F1172" s="79"/>
    </row>
    <row r="1173" spans="1:6" ht="13.5">
      <c r="A1173" s="204" t="s">
        <v>731</v>
      </c>
      <c r="B1173" s="207" t="b">
        <v>0</v>
      </c>
      <c r="C1173" s="200">
        <f>COUNTIF(単語!G:L,単語辞書!A1173)</f>
        <v>0</v>
      </c>
      <c r="D1173" s="202"/>
      <c r="E1173" s="200" t="s">
        <v>4792</v>
      </c>
      <c r="F1173" s="79"/>
    </row>
    <row r="1174" spans="1:6" ht="13.5">
      <c r="A1174" s="204" t="s">
        <v>714</v>
      </c>
      <c r="B1174" s="203" t="s">
        <v>4793</v>
      </c>
      <c r="C1174" s="200">
        <f>COUNTIF(単語!G:L,単語辞書!A1174)</f>
        <v>2</v>
      </c>
      <c r="D1174" s="202"/>
      <c r="E1174" s="200" t="s">
        <v>4792</v>
      </c>
      <c r="F1174" s="79"/>
    </row>
    <row r="1175" spans="1:6" ht="13.5">
      <c r="A1175" s="204" t="s">
        <v>4791</v>
      </c>
      <c r="B1175" s="203" t="s">
        <v>4790</v>
      </c>
      <c r="C1175" s="200">
        <f>COUNTIF(単語!G:L,単語辞書!A1175)</f>
        <v>3</v>
      </c>
      <c r="D1175" s="202"/>
      <c r="E1175" s="200" t="s">
        <v>574</v>
      </c>
      <c r="F1175" s="79"/>
    </row>
    <row r="1176" spans="1:6" ht="13.5">
      <c r="A1176" s="204" t="s">
        <v>4789</v>
      </c>
      <c r="B1176" s="203" t="s">
        <v>4788</v>
      </c>
      <c r="C1176" s="200">
        <f>COUNTIF(単語!G:L,単語辞書!A1176)</f>
        <v>3</v>
      </c>
      <c r="D1176" s="202"/>
      <c r="E1176" s="200" t="s">
        <v>574</v>
      </c>
      <c r="F1176" s="79"/>
    </row>
    <row r="1177" spans="1:6" ht="13.5">
      <c r="A1177" s="204" t="s">
        <v>4787</v>
      </c>
      <c r="B1177" s="203" t="s">
        <v>4786</v>
      </c>
      <c r="C1177" s="200">
        <f>COUNTIF(単語!G:L,単語辞書!A1177)</f>
        <v>1</v>
      </c>
      <c r="D1177" s="202"/>
      <c r="E1177" s="200" t="s">
        <v>574</v>
      </c>
      <c r="F1177" s="79"/>
    </row>
    <row r="1178" spans="1:6" ht="13.5">
      <c r="A1178" s="204" t="s">
        <v>4785</v>
      </c>
      <c r="B1178" s="203" t="s">
        <v>4784</v>
      </c>
      <c r="C1178" s="200">
        <f>COUNTIF(単語!G:L,単語辞書!A1178)</f>
        <v>15</v>
      </c>
      <c r="D1178" s="202"/>
      <c r="E1178" s="200" t="s">
        <v>574</v>
      </c>
      <c r="F1178" s="79"/>
    </row>
    <row r="1179" spans="1:6" ht="13.5">
      <c r="A1179" s="204" t="s">
        <v>657</v>
      </c>
      <c r="B1179" s="203" t="s">
        <v>4783</v>
      </c>
      <c r="C1179" s="200">
        <f>COUNTIF(単語!G:L,単語辞書!A1179)</f>
        <v>18</v>
      </c>
      <c r="D1179" s="202"/>
      <c r="E1179" s="200" t="s">
        <v>574</v>
      </c>
      <c r="F1179" s="79"/>
    </row>
    <row r="1180" spans="1:6" ht="13.5">
      <c r="A1180" s="204" t="s">
        <v>678</v>
      </c>
      <c r="B1180" s="203" t="s">
        <v>4782</v>
      </c>
      <c r="C1180" s="200">
        <f>COUNTIF(単語!G:L,単語辞書!A1180)</f>
        <v>3</v>
      </c>
      <c r="D1180" s="202"/>
      <c r="E1180" s="200" t="s">
        <v>574</v>
      </c>
      <c r="F1180" s="79"/>
    </row>
    <row r="1181" spans="1:6" ht="13.5">
      <c r="A1181" s="204" t="s">
        <v>687</v>
      </c>
      <c r="B1181" s="203" t="s">
        <v>4781</v>
      </c>
      <c r="C1181" s="200">
        <f>COUNTIF(単語!G:L,単語辞書!A1181)</f>
        <v>2</v>
      </c>
      <c r="D1181" s="202"/>
      <c r="E1181" s="200" t="s">
        <v>574</v>
      </c>
      <c r="F1181" s="79"/>
    </row>
    <row r="1182" spans="1:6" ht="13.5">
      <c r="A1182" s="204" t="s">
        <v>4780</v>
      </c>
      <c r="B1182" s="203" t="s">
        <v>4779</v>
      </c>
      <c r="C1182" s="200">
        <f>COUNTIF(単語!G:L,単語辞書!A1182)</f>
        <v>1</v>
      </c>
      <c r="D1182" s="202"/>
      <c r="E1182" s="200" t="s">
        <v>574</v>
      </c>
      <c r="F1182" s="79"/>
    </row>
    <row r="1183" spans="1:6" ht="13.5">
      <c r="A1183" s="204" t="s">
        <v>681</v>
      </c>
      <c r="B1183" s="203" t="s">
        <v>4778</v>
      </c>
      <c r="C1183" s="200">
        <f>COUNTIF(単語!G:L,単語辞書!A1183)</f>
        <v>1</v>
      </c>
      <c r="D1183" s="202"/>
      <c r="E1183" s="200" t="s">
        <v>574</v>
      </c>
      <c r="F1183" s="79"/>
    </row>
    <row r="1184" spans="1:6" ht="13.5">
      <c r="A1184" s="204" t="s">
        <v>676</v>
      </c>
      <c r="B1184" s="203" t="s">
        <v>4777</v>
      </c>
      <c r="C1184" s="200">
        <f>COUNTIF(単語!G:L,単語辞書!A1184)</f>
        <v>1</v>
      </c>
      <c r="D1184" s="202"/>
      <c r="E1184" s="200" t="s">
        <v>574</v>
      </c>
      <c r="F1184" s="79"/>
    </row>
    <row r="1185" spans="1:6" ht="13.5">
      <c r="A1185" s="204" t="s">
        <v>674</v>
      </c>
      <c r="B1185" s="203" t="s">
        <v>4776</v>
      </c>
      <c r="C1185" s="200">
        <f>COUNTIF(単語!G:L,単語辞書!A1185)</f>
        <v>1</v>
      </c>
      <c r="D1185" s="202"/>
      <c r="E1185" s="200" t="s">
        <v>574</v>
      </c>
      <c r="F1185" s="79"/>
    </row>
    <row r="1186" spans="1:6" ht="13.5">
      <c r="A1186" s="204" t="s">
        <v>670</v>
      </c>
      <c r="B1186" s="203" t="s">
        <v>4775</v>
      </c>
      <c r="C1186" s="200">
        <f>COUNTIF(単語!G:L,単語辞書!A1186)</f>
        <v>1</v>
      </c>
      <c r="D1186" s="202"/>
      <c r="E1186" s="200" t="s">
        <v>574</v>
      </c>
      <c r="F1186" s="79"/>
    </row>
    <row r="1187" spans="1:6" ht="13.5">
      <c r="A1187" s="204" t="s">
        <v>664</v>
      </c>
      <c r="B1187" s="203" t="s">
        <v>4774</v>
      </c>
      <c r="C1187" s="200">
        <f>COUNTIF(単語!G:L,単語辞書!A1187)</f>
        <v>1</v>
      </c>
      <c r="D1187" s="202"/>
      <c r="E1187" s="200" t="s">
        <v>574</v>
      </c>
      <c r="F1187" s="79"/>
    </row>
    <row r="1188" spans="1:6" ht="13.5">
      <c r="A1188" s="206" t="s">
        <v>4773</v>
      </c>
      <c r="B1188" s="203" t="s">
        <v>4772</v>
      </c>
      <c r="C1188" s="200">
        <f>COUNTIF(単語!G:L,単語辞書!A1188)</f>
        <v>18</v>
      </c>
      <c r="D1188" s="202"/>
      <c r="E1188" s="200" t="s">
        <v>574</v>
      </c>
      <c r="F1188" s="79"/>
    </row>
    <row r="1189" spans="1:6" ht="13.5">
      <c r="A1189" s="206" t="s">
        <v>558</v>
      </c>
      <c r="B1189" s="203" t="s">
        <v>4771</v>
      </c>
      <c r="C1189" s="200">
        <f>COUNTIF(単語!G:L,単語辞書!A1189)</f>
        <v>3</v>
      </c>
      <c r="D1189" s="202"/>
      <c r="E1189" s="200" t="s">
        <v>373</v>
      </c>
      <c r="F1189" s="79"/>
    </row>
    <row r="1190" spans="1:6" ht="13.5">
      <c r="A1190" s="206" t="s">
        <v>4770</v>
      </c>
      <c r="B1190" s="203" t="s">
        <v>4769</v>
      </c>
      <c r="C1190" s="200">
        <f>COUNTIF(単語!G:L,単語辞書!A1190)</f>
        <v>1</v>
      </c>
      <c r="D1190" s="202"/>
      <c r="E1190" s="200" t="s">
        <v>373</v>
      </c>
      <c r="F1190" s="79"/>
    </row>
    <row r="1191" spans="1:6" ht="13.5">
      <c r="A1191" s="206" t="s">
        <v>570</v>
      </c>
      <c r="B1191" s="203" t="s">
        <v>4768</v>
      </c>
      <c r="C1191" s="200">
        <f>COUNTIF(単語!G:L,単語辞書!A1191)</f>
        <v>1</v>
      </c>
      <c r="D1191" s="202"/>
      <c r="E1191" s="200" t="s">
        <v>373</v>
      </c>
      <c r="F1191" s="79"/>
    </row>
    <row r="1192" spans="1:6" ht="13.5">
      <c r="A1192" s="206" t="s">
        <v>548</v>
      </c>
      <c r="B1192" s="203" t="s">
        <v>4767</v>
      </c>
      <c r="C1192" s="200">
        <f>COUNTIF(単語!G:L,単語辞書!A1192)</f>
        <v>3</v>
      </c>
      <c r="D1192" s="202"/>
      <c r="E1192" s="200" t="s">
        <v>373</v>
      </c>
      <c r="F1192" s="79"/>
    </row>
    <row r="1193" spans="1:6" ht="13.5">
      <c r="A1193" s="204" t="s">
        <v>547</v>
      </c>
      <c r="B1193" s="203" t="s">
        <v>4766</v>
      </c>
      <c r="C1193" s="200">
        <f>COUNTIF(単語!G:L,単語辞書!A1193)</f>
        <v>3</v>
      </c>
      <c r="D1193" s="202"/>
      <c r="E1193" s="200" t="s">
        <v>373</v>
      </c>
      <c r="F1193" s="79"/>
    </row>
    <row r="1194" spans="1:6" ht="13.5">
      <c r="A1194" s="204" t="s">
        <v>4765</v>
      </c>
      <c r="B1194" s="203" t="s">
        <v>4765</v>
      </c>
      <c r="C1194" s="200">
        <f>COUNTIF(単語!G:L,単語辞書!A1194)</f>
        <v>4</v>
      </c>
      <c r="D1194" s="202"/>
      <c r="E1194" s="200" t="s">
        <v>373</v>
      </c>
      <c r="F1194" s="79"/>
    </row>
    <row r="1195" spans="1:6" ht="13.5">
      <c r="A1195" s="204" t="s">
        <v>4764</v>
      </c>
      <c r="B1195" s="203" t="s">
        <v>4763</v>
      </c>
      <c r="C1195" s="200">
        <f>COUNTIF(単語!G:L,単語辞書!A1195)</f>
        <v>1</v>
      </c>
      <c r="D1195" s="202"/>
      <c r="E1195" s="200" t="s">
        <v>373</v>
      </c>
      <c r="F1195" s="79"/>
    </row>
    <row r="1196" spans="1:6" ht="13.5">
      <c r="A1196" s="204" t="s">
        <v>516</v>
      </c>
      <c r="B1196" s="203" t="s">
        <v>4762</v>
      </c>
      <c r="C1196" s="200">
        <f>COUNTIF(単語!G:L,単語辞書!A1196)</f>
        <v>9</v>
      </c>
      <c r="D1196" s="202"/>
      <c r="E1196" s="200" t="s">
        <v>373</v>
      </c>
      <c r="F1196" s="79"/>
    </row>
    <row r="1197" spans="1:6" ht="13.5">
      <c r="A1197" s="204" t="s">
        <v>509</v>
      </c>
      <c r="B1197" s="203" t="s">
        <v>4761</v>
      </c>
      <c r="C1197" s="200">
        <f>COUNTIF(単語!G:L,単語辞書!A1197)</f>
        <v>2</v>
      </c>
      <c r="D1197" s="202"/>
      <c r="E1197" s="200" t="s">
        <v>373</v>
      </c>
      <c r="F1197" s="79"/>
    </row>
    <row r="1198" spans="1:6" ht="13.5">
      <c r="A1198" s="204" t="s">
        <v>507</v>
      </c>
      <c r="B1198" s="203" t="s">
        <v>4760</v>
      </c>
      <c r="C1198" s="200">
        <f>COUNTIF(単語!G:L,単語辞書!A1198)</f>
        <v>2</v>
      </c>
      <c r="D1198" s="202"/>
      <c r="E1198" s="200" t="s">
        <v>373</v>
      </c>
      <c r="F1198" s="79"/>
    </row>
    <row r="1199" spans="1:6" ht="13.5">
      <c r="A1199" s="204" t="s">
        <v>505</v>
      </c>
      <c r="B1199" s="203" t="s">
        <v>4759</v>
      </c>
      <c r="C1199" s="200">
        <f>COUNTIF(単語!G:L,単語辞書!A1199)</f>
        <v>2</v>
      </c>
      <c r="D1199" s="202"/>
      <c r="E1199" s="200" t="s">
        <v>373</v>
      </c>
      <c r="F1199" s="79"/>
    </row>
    <row r="1200" spans="1:6" ht="13.5">
      <c r="A1200" s="204" t="s">
        <v>4758</v>
      </c>
      <c r="B1200" s="203" t="s">
        <v>4757</v>
      </c>
      <c r="C1200" s="200">
        <f>COUNTIF(単語!G:L,単語辞書!A1200)</f>
        <v>2</v>
      </c>
      <c r="D1200" s="202"/>
      <c r="E1200" s="200" t="s">
        <v>373</v>
      </c>
      <c r="F1200" s="79"/>
    </row>
    <row r="1201" spans="1:6" ht="13.5">
      <c r="A1201" s="204" t="s">
        <v>497</v>
      </c>
      <c r="B1201" s="203" t="s">
        <v>4756</v>
      </c>
      <c r="C1201" s="200">
        <f>COUNTIF(単語!G:L,単語辞書!A1201)</f>
        <v>9</v>
      </c>
      <c r="D1201" s="202"/>
      <c r="E1201" s="200" t="s">
        <v>373</v>
      </c>
      <c r="F1201" s="79"/>
    </row>
    <row r="1202" spans="1:6" ht="13.5">
      <c r="A1202" s="204" t="s">
        <v>514</v>
      </c>
      <c r="B1202" s="203" t="s">
        <v>4755</v>
      </c>
      <c r="C1202" s="200">
        <f>COUNTIF(単語!G:L,単語辞書!A1202)</f>
        <v>1</v>
      </c>
      <c r="D1202" s="202"/>
      <c r="E1202" s="200" t="s">
        <v>373</v>
      </c>
      <c r="F1202" s="79"/>
    </row>
    <row r="1203" spans="1:6" ht="13.5">
      <c r="A1203" s="204" t="s">
        <v>4754</v>
      </c>
      <c r="B1203" s="203" t="s">
        <v>4753</v>
      </c>
      <c r="C1203" s="200">
        <f>COUNTIF(単語!G:L,単語辞書!A1203)</f>
        <v>3</v>
      </c>
      <c r="D1203" s="202"/>
      <c r="E1203" s="200" t="s">
        <v>373</v>
      </c>
      <c r="F1203" s="79"/>
    </row>
    <row r="1204" spans="1:6" ht="13.5">
      <c r="A1204" s="204" t="s">
        <v>477</v>
      </c>
      <c r="B1204" s="203" t="s">
        <v>4752</v>
      </c>
      <c r="C1204" s="200">
        <f>COUNTIF(単語!G:L,単語辞書!A1204)</f>
        <v>1</v>
      </c>
      <c r="D1204" s="202"/>
      <c r="E1204" s="200" t="s">
        <v>373</v>
      </c>
      <c r="F1204" s="79"/>
    </row>
    <row r="1205" spans="1:6" ht="13.5">
      <c r="A1205" s="204" t="s">
        <v>475</v>
      </c>
      <c r="B1205" s="203" t="s">
        <v>4751</v>
      </c>
      <c r="C1205" s="200">
        <f>COUNTIF(単語!G:L,単語辞書!A1205)</f>
        <v>1</v>
      </c>
      <c r="D1205" s="202"/>
      <c r="E1205" s="200" t="s">
        <v>373</v>
      </c>
      <c r="F1205" s="79"/>
    </row>
    <row r="1206" spans="1:6" ht="13.5">
      <c r="A1206" s="204" t="s">
        <v>472</v>
      </c>
      <c r="B1206" s="203" t="s">
        <v>4750</v>
      </c>
      <c r="C1206" s="200">
        <f>COUNTIF(単語!G:L,単語辞書!A1206)</f>
        <v>1</v>
      </c>
      <c r="D1206" s="202"/>
      <c r="E1206" s="200" t="s">
        <v>373</v>
      </c>
      <c r="F1206" s="79"/>
    </row>
    <row r="1207" spans="1:6" ht="13.5">
      <c r="A1207" s="204" t="s">
        <v>4749</v>
      </c>
      <c r="B1207" s="203" t="s">
        <v>4748</v>
      </c>
      <c r="C1207" s="200">
        <f>COUNTIF(単語!G:L,単語辞書!A1207)</f>
        <v>0</v>
      </c>
      <c r="D1207" s="202"/>
      <c r="E1207" s="200" t="s">
        <v>373</v>
      </c>
      <c r="F1207" s="79"/>
    </row>
    <row r="1208" spans="1:6" ht="13.5">
      <c r="A1208" s="204" t="s">
        <v>4747</v>
      </c>
      <c r="B1208" s="203" t="s">
        <v>4746</v>
      </c>
      <c r="C1208" s="200">
        <f>COUNTIF(単語!G:L,単語辞書!A1208)</f>
        <v>6</v>
      </c>
      <c r="D1208" s="202"/>
      <c r="E1208" s="200" t="s">
        <v>4682</v>
      </c>
      <c r="F1208" s="79"/>
    </row>
    <row r="1209" spans="1:6" ht="13.5">
      <c r="A1209" s="204" t="s">
        <v>4745</v>
      </c>
      <c r="B1209" s="203" t="s">
        <v>4744</v>
      </c>
      <c r="C1209" s="200">
        <f>COUNTIF(単語!G:L,単語辞書!A1209)</f>
        <v>1</v>
      </c>
      <c r="D1209" s="202"/>
      <c r="E1209" s="200" t="s">
        <v>4682</v>
      </c>
      <c r="F1209" s="79"/>
    </row>
    <row r="1210" spans="1:6" ht="13.5">
      <c r="A1210" s="204" t="s">
        <v>4743</v>
      </c>
      <c r="B1210" s="203" t="s">
        <v>4742</v>
      </c>
      <c r="C1210" s="200">
        <f>COUNTIF(単語!G:L,単語辞書!A1210)</f>
        <v>1</v>
      </c>
      <c r="D1210" s="202"/>
      <c r="E1210" s="200" t="s">
        <v>4682</v>
      </c>
      <c r="F1210" s="79"/>
    </row>
    <row r="1211" spans="1:6" ht="13.5">
      <c r="A1211" s="204" t="s">
        <v>4741</v>
      </c>
      <c r="B1211" s="203" t="s">
        <v>4740</v>
      </c>
      <c r="C1211" s="200">
        <f>COUNTIF(単語!G:L,単語辞書!A1211)</f>
        <v>2</v>
      </c>
      <c r="D1211" s="202"/>
      <c r="E1211" s="200" t="s">
        <v>4682</v>
      </c>
      <c r="F1211" s="79"/>
    </row>
    <row r="1212" spans="1:6" ht="13.5">
      <c r="A1212" s="204" t="s">
        <v>189</v>
      </c>
      <c r="B1212" s="203" t="s">
        <v>4739</v>
      </c>
      <c r="C1212" s="200">
        <f>COUNTIF(単語!G:L,単語辞書!A1212)</f>
        <v>6</v>
      </c>
      <c r="D1212" s="202"/>
      <c r="E1212" s="200" t="s">
        <v>4682</v>
      </c>
      <c r="F1212" s="79"/>
    </row>
    <row r="1213" spans="1:6" ht="13.5">
      <c r="A1213" s="204" t="s">
        <v>4738</v>
      </c>
      <c r="B1213" s="203" t="s">
        <v>4737</v>
      </c>
      <c r="C1213" s="200">
        <f>COUNTIF(単語!G:L,単語辞書!A1213)</f>
        <v>1</v>
      </c>
      <c r="D1213" s="202"/>
      <c r="E1213" s="200" t="s">
        <v>4682</v>
      </c>
      <c r="F1213" s="79"/>
    </row>
    <row r="1214" spans="1:6" ht="13.5">
      <c r="A1214" s="204" t="s">
        <v>4736</v>
      </c>
      <c r="B1214" s="203" t="s">
        <v>4735</v>
      </c>
      <c r="C1214" s="200">
        <f>COUNTIF(単語!G:L,単語辞書!A1214)</f>
        <v>1</v>
      </c>
      <c r="D1214" s="202"/>
      <c r="E1214" s="200" t="s">
        <v>4682</v>
      </c>
      <c r="F1214" s="79"/>
    </row>
    <row r="1215" spans="1:6" ht="13.5">
      <c r="A1215" s="204" t="s">
        <v>4734</v>
      </c>
      <c r="B1215" s="203" t="s">
        <v>4733</v>
      </c>
      <c r="C1215" s="200">
        <f>COUNTIF(単語!G:L,単語辞書!A1215)</f>
        <v>1</v>
      </c>
      <c r="D1215" s="202"/>
      <c r="E1215" s="200" t="s">
        <v>4682</v>
      </c>
      <c r="F1215" s="79"/>
    </row>
    <row r="1216" spans="1:6" ht="13.5">
      <c r="A1216" s="204" t="s">
        <v>4732</v>
      </c>
      <c r="B1216" s="203" t="s">
        <v>4731</v>
      </c>
      <c r="C1216" s="200">
        <f>COUNTIF(単語!G:L,単語辞書!A1216)</f>
        <v>1</v>
      </c>
      <c r="D1216" s="202"/>
      <c r="E1216" s="200" t="s">
        <v>4682</v>
      </c>
      <c r="F1216" s="79"/>
    </row>
    <row r="1217" spans="1:6" ht="13.5">
      <c r="A1217" s="204" t="s">
        <v>4730</v>
      </c>
      <c r="B1217" s="203" t="s">
        <v>4729</v>
      </c>
      <c r="C1217" s="200">
        <f>COUNTIF(単語!G:L,単語辞書!A1217)</f>
        <v>1</v>
      </c>
      <c r="D1217" s="202"/>
      <c r="E1217" s="200" t="s">
        <v>4682</v>
      </c>
      <c r="F1217" s="79"/>
    </row>
    <row r="1218" spans="1:6" ht="13.5">
      <c r="A1218" s="204" t="s">
        <v>4728</v>
      </c>
      <c r="B1218" s="203" t="s">
        <v>4727</v>
      </c>
      <c r="C1218" s="200">
        <f>COUNTIF(単語!G:L,単語辞書!A1218)</f>
        <v>1</v>
      </c>
      <c r="D1218" s="202"/>
      <c r="E1218" s="200" t="s">
        <v>4682</v>
      </c>
      <c r="F1218" s="79"/>
    </row>
    <row r="1219" spans="1:6" ht="13.5">
      <c r="A1219" s="204" t="s">
        <v>4726</v>
      </c>
      <c r="B1219" s="203" t="s">
        <v>4725</v>
      </c>
      <c r="C1219" s="200">
        <f>COUNTIF(単語!G:L,単語辞書!A1219)</f>
        <v>1</v>
      </c>
      <c r="D1219" s="202"/>
      <c r="E1219" s="200" t="s">
        <v>4682</v>
      </c>
      <c r="F1219" s="79"/>
    </row>
    <row r="1220" spans="1:6" ht="13.5">
      <c r="A1220" s="204" t="s">
        <v>4724</v>
      </c>
      <c r="B1220" s="203" t="s">
        <v>4723</v>
      </c>
      <c r="C1220" s="200">
        <f>COUNTIF(単語!G:L,単語辞書!A1220)</f>
        <v>1</v>
      </c>
      <c r="D1220" s="202"/>
      <c r="E1220" s="200" t="s">
        <v>4682</v>
      </c>
      <c r="F1220" s="79"/>
    </row>
    <row r="1221" spans="1:6" ht="13.5">
      <c r="A1221" s="204" t="s">
        <v>4722</v>
      </c>
      <c r="B1221" s="203" t="s">
        <v>4721</v>
      </c>
      <c r="C1221" s="200">
        <f>COUNTIF(単語!G:L,単語辞書!A1221)</f>
        <v>1</v>
      </c>
      <c r="D1221" s="202"/>
      <c r="E1221" s="200" t="s">
        <v>4682</v>
      </c>
      <c r="F1221" s="79"/>
    </row>
    <row r="1222" spans="1:6" ht="13.5">
      <c r="A1222" s="204" t="s">
        <v>4720</v>
      </c>
      <c r="B1222" s="203" t="s">
        <v>4719</v>
      </c>
      <c r="C1222" s="200">
        <f>COUNTIF(単語!G:L,単語辞書!A1222)</f>
        <v>1</v>
      </c>
      <c r="D1222" s="202"/>
      <c r="E1222" s="200" t="s">
        <v>4682</v>
      </c>
      <c r="F1222" s="79"/>
    </row>
    <row r="1223" spans="1:6" ht="13.5">
      <c r="A1223" s="204" t="s">
        <v>204</v>
      </c>
      <c r="B1223" s="203" t="s">
        <v>4718</v>
      </c>
      <c r="C1223" s="200">
        <f>COUNTIF(単語!G:L,単語辞書!A1223)</f>
        <v>5</v>
      </c>
      <c r="D1223" s="202"/>
      <c r="E1223" s="200" t="s">
        <v>4682</v>
      </c>
      <c r="F1223" s="79"/>
    </row>
    <row r="1224" spans="1:6" ht="13.5">
      <c r="A1224" s="204" t="s">
        <v>4717</v>
      </c>
      <c r="B1224" s="203" t="s">
        <v>4716</v>
      </c>
      <c r="C1224" s="200">
        <f>COUNTIF(単語!G:L,単語辞書!A1224)</f>
        <v>1</v>
      </c>
      <c r="D1224" s="202"/>
      <c r="E1224" s="200" t="s">
        <v>4682</v>
      </c>
      <c r="F1224" s="79"/>
    </row>
    <row r="1225" spans="1:6" ht="13.5">
      <c r="A1225" s="204" t="s">
        <v>4715</v>
      </c>
      <c r="B1225" s="203" t="s">
        <v>4714</v>
      </c>
      <c r="C1225" s="200">
        <f>COUNTIF(単語!G:L,単語辞書!A1225)</f>
        <v>1</v>
      </c>
      <c r="D1225" s="202"/>
      <c r="E1225" s="200" t="s">
        <v>4682</v>
      </c>
      <c r="F1225" s="79"/>
    </row>
    <row r="1226" spans="1:6" ht="13.5">
      <c r="A1226" s="204" t="s">
        <v>4713</v>
      </c>
      <c r="B1226" s="203" t="s">
        <v>4712</v>
      </c>
      <c r="C1226" s="200">
        <f>COUNTIF(単語!G:L,単語辞書!A1226)</f>
        <v>1</v>
      </c>
      <c r="D1226" s="202"/>
      <c r="E1226" s="200" t="s">
        <v>4682</v>
      </c>
      <c r="F1226" s="79"/>
    </row>
    <row r="1227" spans="1:6" ht="13.5">
      <c r="A1227" s="204" t="s">
        <v>316</v>
      </c>
      <c r="B1227" s="203" t="s">
        <v>4711</v>
      </c>
      <c r="C1227" s="200">
        <f>COUNTIF(単語!G:L,単語辞書!A1227)</f>
        <v>14</v>
      </c>
      <c r="D1227" s="202"/>
      <c r="E1227" s="200" t="s">
        <v>4682</v>
      </c>
      <c r="F1227" s="79"/>
    </row>
    <row r="1228" spans="1:6" ht="13.5">
      <c r="A1228" s="204" t="s">
        <v>315</v>
      </c>
      <c r="B1228" s="203" t="s">
        <v>4710</v>
      </c>
      <c r="C1228" s="200">
        <f>COUNTIF(単語!G:L,単語辞書!A1228)</f>
        <v>4</v>
      </c>
      <c r="D1228" s="202"/>
      <c r="E1228" s="200" t="s">
        <v>4682</v>
      </c>
      <c r="F1228" s="79"/>
    </row>
    <row r="1229" spans="1:6" ht="13.5">
      <c r="A1229" s="204" t="s">
        <v>4709</v>
      </c>
      <c r="B1229" s="203" t="s">
        <v>4708</v>
      </c>
      <c r="C1229" s="200">
        <f>COUNTIF(単語!G:L,単語辞書!A1229)</f>
        <v>0</v>
      </c>
      <c r="D1229" s="202"/>
      <c r="E1229" s="200" t="s">
        <v>4682</v>
      </c>
      <c r="F1229" s="79"/>
    </row>
    <row r="1230" spans="1:6" ht="13.5">
      <c r="A1230" s="204" t="s">
        <v>4707</v>
      </c>
      <c r="B1230" s="203" t="s">
        <v>4706</v>
      </c>
      <c r="C1230" s="200">
        <f>COUNTIF(単語!G:L,単語辞書!A1230)</f>
        <v>3</v>
      </c>
      <c r="D1230" s="202"/>
      <c r="E1230" s="200" t="s">
        <v>4682</v>
      </c>
      <c r="F1230" s="79"/>
    </row>
    <row r="1231" spans="1:6" ht="13.5">
      <c r="A1231" s="204" t="s">
        <v>4705</v>
      </c>
      <c r="B1231" s="203" t="s">
        <v>4704</v>
      </c>
      <c r="C1231" s="200">
        <f>COUNTIF(単語!G:L,単語辞書!A1231)</f>
        <v>3</v>
      </c>
      <c r="D1231" s="202"/>
      <c r="E1231" s="200" t="s">
        <v>4682</v>
      </c>
      <c r="F1231" s="79"/>
    </row>
    <row r="1232" spans="1:6" ht="13.5">
      <c r="A1232" s="204" t="s">
        <v>4703</v>
      </c>
      <c r="B1232" s="205" t="s">
        <v>4702</v>
      </c>
      <c r="C1232" s="200">
        <f>COUNTIF(単語!G:L,単語辞書!A1232)</f>
        <v>1</v>
      </c>
      <c r="D1232" s="202"/>
      <c r="E1232" s="200" t="s">
        <v>4682</v>
      </c>
      <c r="F1232" s="79"/>
    </row>
    <row r="1233" spans="1:6" ht="13.5">
      <c r="A1233" s="204" t="s">
        <v>4701</v>
      </c>
      <c r="B1233" s="203" t="s">
        <v>4700</v>
      </c>
      <c r="C1233" s="200">
        <f>COUNTIF(単語!G:L,単語辞書!A1233)</f>
        <v>2</v>
      </c>
      <c r="D1233" s="202"/>
      <c r="E1233" s="200" t="s">
        <v>4682</v>
      </c>
      <c r="F1233" s="79"/>
    </row>
    <row r="1234" spans="1:6" ht="13.5">
      <c r="A1234" s="204" t="s">
        <v>4699</v>
      </c>
      <c r="B1234" s="203" t="s">
        <v>4699</v>
      </c>
      <c r="C1234" s="200">
        <f>COUNTIF(単語!G:L,単語辞書!A1234)</f>
        <v>1</v>
      </c>
      <c r="D1234" s="202"/>
      <c r="E1234" s="200" t="s">
        <v>4682</v>
      </c>
      <c r="F1234" s="79"/>
    </row>
    <row r="1235" spans="1:6" ht="13.5">
      <c r="A1235" s="204" t="s">
        <v>4698</v>
      </c>
      <c r="B1235" s="204" t="s">
        <v>4698</v>
      </c>
      <c r="C1235" s="200">
        <f>COUNTIF(単語!G:L,単語辞書!A1235)</f>
        <v>1</v>
      </c>
      <c r="D1235" s="202"/>
      <c r="E1235" s="200" t="s">
        <v>4682</v>
      </c>
      <c r="F1235" s="79"/>
    </row>
    <row r="1236" spans="1:6" ht="13.5">
      <c r="A1236" s="204" t="s">
        <v>4697</v>
      </c>
      <c r="B1236" s="203" t="s">
        <v>4696</v>
      </c>
      <c r="C1236" s="200">
        <f>COUNTIF(単語!G:L,単語辞書!A1236)</f>
        <v>1</v>
      </c>
      <c r="D1236" s="202"/>
      <c r="E1236" s="200" t="s">
        <v>4682</v>
      </c>
      <c r="F1236" s="79"/>
    </row>
    <row r="1237" spans="1:6" ht="13.5">
      <c r="A1237" s="204" t="s">
        <v>4695</v>
      </c>
      <c r="B1237" s="203" t="s">
        <v>4694</v>
      </c>
      <c r="C1237" s="200">
        <f>COUNTIF(単語!G:L,単語辞書!A1237)</f>
        <v>1</v>
      </c>
      <c r="D1237" s="202"/>
      <c r="E1237" s="200" t="s">
        <v>4682</v>
      </c>
      <c r="F1237" s="79"/>
    </row>
    <row r="1238" spans="1:6" ht="13.5">
      <c r="A1238" s="204" t="s">
        <v>338</v>
      </c>
      <c r="B1238" s="203" t="s">
        <v>4693</v>
      </c>
      <c r="C1238" s="200">
        <f>COUNTIF(単語!G:L,単語辞書!A1238)</f>
        <v>1</v>
      </c>
      <c r="D1238" s="202"/>
      <c r="E1238" s="200" t="s">
        <v>4682</v>
      </c>
      <c r="F1238" s="79"/>
    </row>
    <row r="1239" spans="1:6" ht="13.5">
      <c r="A1239" s="204" t="s">
        <v>336</v>
      </c>
      <c r="B1239" s="203" t="s">
        <v>4692</v>
      </c>
      <c r="C1239" s="200">
        <f>COUNTIF(単語!G:L,単語辞書!A1239)</f>
        <v>1</v>
      </c>
      <c r="D1239" s="202"/>
      <c r="E1239" s="200" t="s">
        <v>4682</v>
      </c>
      <c r="F1239" s="79"/>
    </row>
    <row r="1240" spans="1:6" ht="13.5">
      <c r="A1240" s="204" t="s">
        <v>334</v>
      </c>
      <c r="B1240" s="203" t="s">
        <v>4691</v>
      </c>
      <c r="C1240" s="200">
        <f>COUNTIF(単語!G:L,単語辞書!A1240)</f>
        <v>1</v>
      </c>
      <c r="D1240" s="202"/>
      <c r="E1240" s="200" t="s">
        <v>4682</v>
      </c>
      <c r="F1240" s="79"/>
    </row>
    <row r="1241" spans="1:6" ht="13.5">
      <c r="A1241" s="204" t="s">
        <v>332</v>
      </c>
      <c r="B1241" s="203" t="s">
        <v>4690</v>
      </c>
      <c r="C1241" s="200">
        <f>COUNTIF(単語!G:L,単語辞書!A1241)</f>
        <v>1</v>
      </c>
      <c r="D1241" s="202"/>
      <c r="E1241" s="200" t="s">
        <v>4682</v>
      </c>
      <c r="F1241" s="79"/>
    </row>
    <row r="1242" spans="1:6" ht="13.5">
      <c r="A1242" s="204" t="s">
        <v>330</v>
      </c>
      <c r="B1242" s="203" t="s">
        <v>4689</v>
      </c>
      <c r="C1242" s="200">
        <f>COUNTIF(単語!G:L,単語辞書!A1242)</f>
        <v>1</v>
      </c>
      <c r="D1242" s="202"/>
      <c r="E1242" s="200" t="s">
        <v>4682</v>
      </c>
      <c r="F1242" s="79"/>
    </row>
    <row r="1243" spans="1:6" ht="13.5">
      <c r="A1243" s="204" t="s">
        <v>4688</v>
      </c>
      <c r="B1243" s="203" t="s">
        <v>4687</v>
      </c>
      <c r="C1243" s="200">
        <f>COUNTIF(単語!G:L,単語辞書!A1243)</f>
        <v>1</v>
      </c>
      <c r="D1243" s="202"/>
      <c r="E1243" s="200" t="s">
        <v>4682</v>
      </c>
      <c r="F1243" s="79"/>
    </row>
    <row r="1244" spans="1:6" ht="13.5">
      <c r="A1244" s="204" t="s">
        <v>4686</v>
      </c>
      <c r="B1244" s="203" t="s">
        <v>4685</v>
      </c>
      <c r="C1244" s="200">
        <f>COUNTIF(単語!G:L,単語辞書!A1244)</f>
        <v>1</v>
      </c>
      <c r="D1244" s="202"/>
      <c r="E1244" s="200" t="s">
        <v>4682</v>
      </c>
      <c r="F1244" s="79"/>
    </row>
    <row r="1245" spans="1:6" ht="13.5">
      <c r="A1245" s="204" t="s">
        <v>4684</v>
      </c>
      <c r="B1245" s="203" t="s">
        <v>4683</v>
      </c>
      <c r="C1245" s="200">
        <f>COUNTIF(単語!G:L,単語辞書!A1245)</f>
        <v>1</v>
      </c>
      <c r="D1245" s="202"/>
      <c r="E1245" s="200" t="s">
        <v>4682</v>
      </c>
      <c r="F1245" s="79"/>
    </row>
    <row r="1246" spans="1:6" ht="13.5">
      <c r="A1246" s="204" t="s">
        <v>4681</v>
      </c>
      <c r="B1246" s="203" t="s">
        <v>4680</v>
      </c>
      <c r="C1246" s="200">
        <f>COUNTIF(単語!G:L,単語辞書!A1246)</f>
        <v>3</v>
      </c>
      <c r="D1246" s="202"/>
      <c r="E1246" s="200" t="s">
        <v>4675</v>
      </c>
      <c r="F1246" s="79"/>
    </row>
    <row r="1247" spans="1:6" ht="13.5">
      <c r="A1247" s="204" t="s">
        <v>4679</v>
      </c>
      <c r="B1247" s="203" t="s">
        <v>4678</v>
      </c>
      <c r="C1247" s="200">
        <f>COUNTIF(単語!G:L,単語辞書!A1247)</f>
        <v>1</v>
      </c>
      <c r="D1247" s="202"/>
      <c r="E1247" s="200" t="s">
        <v>4675</v>
      </c>
      <c r="F1247" s="79"/>
    </row>
    <row r="1248" spans="1:6" ht="13.5">
      <c r="A1248" s="204" t="s">
        <v>4677</v>
      </c>
      <c r="B1248" s="203" t="s">
        <v>4676</v>
      </c>
      <c r="C1248" s="200">
        <f>COUNTIF(単語!G:L,単語辞書!A1248)</f>
        <v>1</v>
      </c>
      <c r="D1248" s="202"/>
      <c r="E1248" s="200" t="s">
        <v>4675</v>
      </c>
      <c r="F1248" s="79"/>
    </row>
    <row r="1249" spans="1:6" ht="13.5">
      <c r="A1249" s="249" t="s">
        <v>6658</v>
      </c>
      <c r="B1249" s="250" t="s">
        <v>6659</v>
      </c>
      <c r="C1249" s="251">
        <f>COUNTIF(単語!G:L,単語辞書!A1249)</f>
        <v>10</v>
      </c>
      <c r="D1249" s="252"/>
      <c r="E1249" s="251" t="s">
        <v>135</v>
      </c>
      <c r="F1249" s="246">
        <v>41584</v>
      </c>
    </row>
    <row r="1250" spans="1:6" ht="13.5">
      <c r="A1250" s="253" t="s">
        <v>6497</v>
      </c>
      <c r="B1250" s="250" t="s">
        <v>6504</v>
      </c>
      <c r="C1250" s="251">
        <f>COUNTIF(単語!G:L,単語辞書!A1250)</f>
        <v>1</v>
      </c>
      <c r="D1250" s="252"/>
      <c r="E1250" s="251" t="s">
        <v>135</v>
      </c>
      <c r="F1250" s="246">
        <v>41584</v>
      </c>
    </row>
    <row r="1251" spans="1:6" ht="13.5">
      <c r="A1251" s="253" t="s">
        <v>6498</v>
      </c>
      <c r="B1251" s="250" t="s">
        <v>6505</v>
      </c>
      <c r="C1251" s="251">
        <f>COUNTIF(単語!G:L,単語辞書!A1251)</f>
        <v>1</v>
      </c>
      <c r="D1251" s="252"/>
      <c r="E1251" s="251" t="s">
        <v>135</v>
      </c>
      <c r="F1251" s="246">
        <v>41584</v>
      </c>
    </row>
    <row r="1252" spans="1:6" ht="13.5">
      <c r="A1252" s="249" t="s">
        <v>6525</v>
      </c>
      <c r="B1252" s="250" t="s">
        <v>6528</v>
      </c>
      <c r="C1252" s="251">
        <f>COUNTIF(単語!G:L,単語辞書!A1252)</f>
        <v>1</v>
      </c>
      <c r="D1252" s="252"/>
      <c r="E1252" s="251" t="s">
        <v>135</v>
      </c>
      <c r="F1252" s="246">
        <v>41584</v>
      </c>
    </row>
    <row r="1253" spans="1:6" ht="13.5">
      <c r="A1253" s="249" t="s">
        <v>6526</v>
      </c>
      <c r="B1253" s="250" t="s">
        <v>6529</v>
      </c>
      <c r="C1253" s="251">
        <f>COUNTIF(単語!G:L,単語辞書!A1253)</f>
        <v>1</v>
      </c>
      <c r="D1253" s="252"/>
      <c r="E1253" s="251" t="s">
        <v>135</v>
      </c>
      <c r="F1253" s="246">
        <v>41584</v>
      </c>
    </row>
    <row r="1254" spans="1:6" ht="13.5">
      <c r="A1254" s="249" t="s">
        <v>6527</v>
      </c>
      <c r="B1254" s="250" t="s">
        <v>6530</v>
      </c>
      <c r="C1254" s="251">
        <f>COUNTIF(単語!G:L,単語辞書!A1254)</f>
        <v>1</v>
      </c>
      <c r="D1254" s="252"/>
      <c r="E1254" s="251" t="s">
        <v>135</v>
      </c>
      <c r="F1254" s="246">
        <v>41584</v>
      </c>
    </row>
    <row r="1255" spans="1:6" ht="13.5">
      <c r="A1255" s="253" t="s">
        <v>6539</v>
      </c>
      <c r="B1255" s="250" t="s">
        <v>6541</v>
      </c>
      <c r="C1255" s="251">
        <f>COUNTIF(単語!G:L,単語辞書!A1255)</f>
        <v>2</v>
      </c>
      <c r="D1255" s="252"/>
      <c r="E1255" s="251" t="s">
        <v>135</v>
      </c>
      <c r="F1255" s="246">
        <v>41584</v>
      </c>
    </row>
    <row r="1256" spans="1:6" ht="13.5">
      <c r="A1256" s="249" t="s">
        <v>6567</v>
      </c>
      <c r="B1256" s="250" t="s">
        <v>6889</v>
      </c>
      <c r="C1256" s="251">
        <f>COUNTIF(単語!G:L,単語辞書!A1256)</f>
        <v>5</v>
      </c>
      <c r="D1256" s="252"/>
      <c r="E1256" s="251" t="s">
        <v>135</v>
      </c>
      <c r="F1256" s="246">
        <v>41584</v>
      </c>
    </row>
    <row r="1257" spans="1:6" ht="13.5">
      <c r="A1257" s="249" t="s">
        <v>6558</v>
      </c>
      <c r="B1257" s="250" t="s">
        <v>6562</v>
      </c>
      <c r="C1257" s="251">
        <f>COUNTIF(単語!G:L,単語辞書!A1257)</f>
        <v>5</v>
      </c>
      <c r="D1257" s="252"/>
      <c r="E1257" s="251" t="s">
        <v>135</v>
      </c>
      <c r="F1257" s="246">
        <v>41584</v>
      </c>
    </row>
    <row r="1258" spans="1:6" ht="13.5">
      <c r="A1258" s="249" t="s">
        <v>6559</v>
      </c>
      <c r="B1258" s="250" t="s">
        <v>6563</v>
      </c>
      <c r="C1258" s="251">
        <f>COUNTIF(単語!G:L,単語辞書!A1258)</f>
        <v>5</v>
      </c>
      <c r="D1258" s="252"/>
      <c r="E1258" s="251" t="s">
        <v>135</v>
      </c>
      <c r="F1258" s="246">
        <v>41584</v>
      </c>
    </row>
    <row r="1259" spans="1:6" ht="13.5">
      <c r="A1259" s="249" t="s">
        <v>6560</v>
      </c>
      <c r="B1259" s="250" t="s">
        <v>6564</v>
      </c>
      <c r="C1259" s="251">
        <f>COUNTIF(単語!G:L,単語辞書!A1259)</f>
        <v>1</v>
      </c>
      <c r="D1259" s="252"/>
      <c r="E1259" s="251" t="s">
        <v>135</v>
      </c>
      <c r="F1259" s="246">
        <v>41584</v>
      </c>
    </row>
    <row r="1260" spans="1:6" ht="13.5">
      <c r="A1260" s="249" t="s">
        <v>6561</v>
      </c>
      <c r="B1260" s="250" t="s">
        <v>6565</v>
      </c>
      <c r="C1260" s="251">
        <f>COUNTIF(単語!G:L,単語辞書!A1260)</f>
        <v>1</v>
      </c>
      <c r="D1260" s="252"/>
      <c r="E1260" s="251" t="s">
        <v>135</v>
      </c>
      <c r="F1260" s="246">
        <v>41584</v>
      </c>
    </row>
    <row r="1261" spans="1:6" ht="13.5">
      <c r="A1261" s="249" t="s">
        <v>6573</v>
      </c>
      <c r="B1261" s="250" t="s">
        <v>6574</v>
      </c>
      <c r="C1261" s="251">
        <f>COUNTIF(単語!G:L,単語辞書!A1261)</f>
        <v>2</v>
      </c>
      <c r="D1261" s="252"/>
      <c r="E1261" s="251" t="s">
        <v>135</v>
      </c>
      <c r="F1261" s="246">
        <v>41584</v>
      </c>
    </row>
    <row r="1262" spans="1:6" ht="13.5">
      <c r="A1262" s="249" t="s">
        <v>6495</v>
      </c>
      <c r="B1262" s="250" t="s">
        <v>6575</v>
      </c>
      <c r="C1262" s="251">
        <f>COUNTIF(単語!G:L,単語辞書!A1262)</f>
        <v>1</v>
      </c>
      <c r="D1262" s="252"/>
      <c r="E1262" s="251" t="s">
        <v>135</v>
      </c>
      <c r="F1262" s="246">
        <v>41584</v>
      </c>
    </row>
    <row r="1263" spans="1:6" ht="13.5">
      <c r="A1263" s="253" t="s">
        <v>6429</v>
      </c>
      <c r="B1263" s="250" t="s">
        <v>6576</v>
      </c>
      <c r="C1263" s="251">
        <f>COUNTIF(単語!G:L,単語辞書!A1263)</f>
        <v>1</v>
      </c>
      <c r="D1263" s="252"/>
      <c r="E1263" s="251" t="s">
        <v>135</v>
      </c>
      <c r="F1263" s="246">
        <v>41584</v>
      </c>
    </row>
    <row r="1264" spans="1:6" ht="13.5">
      <c r="A1264" s="253" t="s">
        <v>6430</v>
      </c>
      <c r="B1264" s="250" t="s">
        <v>6577</v>
      </c>
      <c r="C1264" s="251">
        <f>COUNTIF(単語!G:L,単語辞書!A1264)</f>
        <v>1</v>
      </c>
      <c r="D1264" s="252"/>
      <c r="E1264" s="251" t="s">
        <v>135</v>
      </c>
      <c r="F1264" s="246">
        <v>41584</v>
      </c>
    </row>
    <row r="1265" spans="1:6" ht="13.5">
      <c r="A1265" s="249" t="s">
        <v>6595</v>
      </c>
      <c r="B1265" s="250" t="s">
        <v>6596</v>
      </c>
      <c r="C1265" s="251">
        <f>COUNTIF(単語!G:L,単語辞書!A1265)</f>
        <v>1</v>
      </c>
      <c r="D1265" s="252"/>
      <c r="E1265" s="251" t="s">
        <v>135</v>
      </c>
      <c r="F1265" s="246">
        <v>41584</v>
      </c>
    </row>
    <row r="1266" spans="1:6" ht="13.5">
      <c r="A1266" s="249" t="s">
        <v>6598</v>
      </c>
      <c r="B1266" s="250" t="s">
        <v>6599</v>
      </c>
      <c r="C1266" s="251">
        <f>COUNTIF(単語!G:L,単語辞書!A1266)</f>
        <v>2</v>
      </c>
      <c r="D1266" s="252"/>
      <c r="E1266" s="251" t="s">
        <v>135</v>
      </c>
      <c r="F1266" s="246">
        <v>41584</v>
      </c>
    </row>
    <row r="1267" spans="1:6" ht="13.5">
      <c r="A1267" s="249" t="s">
        <v>2441</v>
      </c>
      <c r="B1267" s="250" t="s">
        <v>6601</v>
      </c>
      <c r="C1267" s="251">
        <f>COUNTIF(単語!G:L,単語辞書!A1267)</f>
        <v>1</v>
      </c>
      <c r="D1267" s="252"/>
      <c r="E1267" s="251" t="s">
        <v>135</v>
      </c>
      <c r="F1267" s="246">
        <v>41584</v>
      </c>
    </row>
    <row r="1268" spans="1:6" ht="13.5">
      <c r="A1268" s="249" t="s">
        <v>6591</v>
      </c>
      <c r="B1268" s="250" t="s">
        <v>6604</v>
      </c>
      <c r="C1268" s="251">
        <f>COUNTIF(単語!G:L,単語辞書!A1268)</f>
        <v>4</v>
      </c>
      <c r="D1268" s="252"/>
      <c r="E1268" s="251" t="s">
        <v>135</v>
      </c>
      <c r="F1268" s="246">
        <v>41584</v>
      </c>
    </row>
    <row r="1269" spans="1:6" ht="13.5">
      <c r="A1269" s="253" t="s">
        <v>6605</v>
      </c>
      <c r="B1269" s="250" t="s">
        <v>6614</v>
      </c>
      <c r="C1269" s="251">
        <f>COUNTIF(単語!G:L,単語辞書!A1269)</f>
        <v>1</v>
      </c>
      <c r="D1269" s="252"/>
      <c r="E1269" s="251" t="s">
        <v>135</v>
      </c>
      <c r="F1269" s="246">
        <v>41584</v>
      </c>
    </row>
    <row r="1270" spans="1:6" ht="13.5">
      <c r="A1270" s="253" t="s">
        <v>6606</v>
      </c>
      <c r="B1270" s="250" t="s">
        <v>6615</v>
      </c>
      <c r="C1270" s="251">
        <f>COUNTIF(単語!G:L,単語辞書!A1270)</f>
        <v>4</v>
      </c>
      <c r="D1270" s="252"/>
      <c r="E1270" s="251" t="s">
        <v>135</v>
      </c>
      <c r="F1270" s="246">
        <v>41584</v>
      </c>
    </row>
    <row r="1271" spans="1:6" ht="13.5">
      <c r="A1271" s="249" t="s">
        <v>6616</v>
      </c>
      <c r="B1271" s="250" t="s">
        <v>6617</v>
      </c>
      <c r="C1271" s="251">
        <f>COUNTIF(単語!G:L,単語辞書!A1271)</f>
        <v>2</v>
      </c>
      <c r="D1271" s="252"/>
      <c r="E1271" s="251" t="s">
        <v>135</v>
      </c>
      <c r="F1271" s="246">
        <v>41584</v>
      </c>
    </row>
    <row r="1272" spans="1:6" ht="13.5">
      <c r="A1272" s="253" t="s">
        <v>6608</v>
      </c>
      <c r="B1272" s="250" t="s">
        <v>6618</v>
      </c>
      <c r="C1272" s="251">
        <f>COUNTIF(単語!G:L,単語辞書!A1272)</f>
        <v>3</v>
      </c>
      <c r="D1272" s="252"/>
      <c r="E1272" s="251" t="s">
        <v>135</v>
      </c>
      <c r="F1272" s="246">
        <v>41584</v>
      </c>
    </row>
    <row r="1273" spans="1:6" ht="13.5">
      <c r="A1273" s="249" t="s">
        <v>6621</v>
      </c>
      <c r="B1273" s="250" t="s">
        <v>6619</v>
      </c>
      <c r="C1273" s="251">
        <f>COUNTIF(単語!G:L,単語辞書!A1273)</f>
        <v>2</v>
      </c>
      <c r="D1273" s="252"/>
      <c r="E1273" s="251" t="s">
        <v>135</v>
      </c>
      <c r="F1273" s="246">
        <v>41584</v>
      </c>
    </row>
    <row r="1274" spans="1:6" ht="13.5">
      <c r="A1274" s="253" t="s">
        <v>6609</v>
      </c>
      <c r="B1274" s="250" t="s">
        <v>6622</v>
      </c>
      <c r="C1274" s="251">
        <f>COUNTIF(単語!G:L,単語辞書!A1274)</f>
        <v>0</v>
      </c>
      <c r="D1274" s="252"/>
      <c r="E1274" s="251" t="s">
        <v>135</v>
      </c>
      <c r="F1274" s="246">
        <v>41584</v>
      </c>
    </row>
    <row r="1275" spans="1:6" ht="13.5">
      <c r="A1275" s="253" t="s">
        <v>6610</v>
      </c>
      <c r="B1275" s="250" t="s">
        <v>6623</v>
      </c>
      <c r="C1275" s="251">
        <f>COUNTIF(単語!G:L,単語辞書!A1275)</f>
        <v>3</v>
      </c>
      <c r="D1275" s="252"/>
      <c r="E1275" s="251" t="s">
        <v>135</v>
      </c>
      <c r="F1275" s="246">
        <v>41584</v>
      </c>
    </row>
    <row r="1276" spans="1:6" ht="13.5">
      <c r="A1276" s="249" t="s">
        <v>6641</v>
      </c>
      <c r="B1276" s="250" t="s">
        <v>6640</v>
      </c>
      <c r="C1276" s="251">
        <f>COUNTIF(単語!G:L,単語辞書!A1276)</f>
        <v>4</v>
      </c>
      <c r="D1276" s="252"/>
      <c r="E1276" s="251" t="s">
        <v>135</v>
      </c>
      <c r="F1276" s="246">
        <v>41584</v>
      </c>
    </row>
    <row r="1277" spans="1:6" ht="13.5">
      <c r="A1277" s="253" t="s">
        <v>6487</v>
      </c>
      <c r="B1277" s="250" t="s">
        <v>6625</v>
      </c>
      <c r="C1277" s="251">
        <f>COUNTIF(単語!G:L,単語辞書!A1277)</f>
        <v>2</v>
      </c>
      <c r="D1277" s="252"/>
      <c r="E1277" s="251" t="s">
        <v>135</v>
      </c>
      <c r="F1277" s="246">
        <v>41584</v>
      </c>
    </row>
    <row r="1278" spans="1:6" ht="13.5">
      <c r="A1278" s="249" t="s">
        <v>6628</v>
      </c>
      <c r="B1278" s="250" t="s">
        <v>6630</v>
      </c>
      <c r="C1278" s="251">
        <f>COUNTIF(単語!G:L,単語辞書!A1278)</f>
        <v>1</v>
      </c>
      <c r="D1278" s="252"/>
      <c r="E1278" s="251" t="s">
        <v>135</v>
      </c>
      <c r="F1278" s="246">
        <v>41584</v>
      </c>
    </row>
    <row r="1279" spans="1:6" ht="13.5">
      <c r="A1279" s="249" t="s">
        <v>6626</v>
      </c>
      <c r="B1279" s="250" t="s">
        <v>6627</v>
      </c>
      <c r="C1279" s="251">
        <f>COUNTIF(単語!G:L,単語辞書!A1279)</f>
        <v>1</v>
      </c>
      <c r="D1279" s="252"/>
      <c r="E1279" s="251" t="s">
        <v>135</v>
      </c>
      <c r="F1279" s="246">
        <v>41584</v>
      </c>
    </row>
    <row r="1280" spans="1:6" ht="13.5">
      <c r="A1280" s="249" t="s">
        <v>6633</v>
      </c>
      <c r="B1280" s="250" t="s">
        <v>6637</v>
      </c>
      <c r="C1280" s="251">
        <f>COUNTIF(単語!G:L,単語辞書!A1280)</f>
        <v>2</v>
      </c>
      <c r="D1280" s="252"/>
      <c r="E1280" s="251" t="s">
        <v>135</v>
      </c>
      <c r="F1280" s="246">
        <v>41584</v>
      </c>
    </row>
    <row r="1281" spans="1:7" ht="13.5">
      <c r="A1281" s="249" t="s">
        <v>6634</v>
      </c>
      <c r="B1281" s="250" t="s">
        <v>6638</v>
      </c>
      <c r="C1281" s="251">
        <f>COUNTIF(単語!G:L,単語辞書!A1281)</f>
        <v>3</v>
      </c>
      <c r="D1281" s="252"/>
      <c r="E1281" s="251" t="s">
        <v>135</v>
      </c>
      <c r="F1281" s="246">
        <v>41584</v>
      </c>
    </row>
    <row r="1282" spans="1:7" ht="13.5">
      <c r="A1282" s="249" t="s">
        <v>6645</v>
      </c>
      <c r="B1282" s="250" t="s">
        <v>6695</v>
      </c>
      <c r="C1282" s="251">
        <f>COUNTIF(単語!G:L,単語辞書!A1282)</f>
        <v>2</v>
      </c>
      <c r="D1282" s="252"/>
      <c r="E1282" s="251" t="s">
        <v>135</v>
      </c>
      <c r="F1282" s="246">
        <v>41584</v>
      </c>
    </row>
    <row r="1283" spans="1:7" ht="13.5">
      <c r="A1283" s="249" t="s">
        <v>6647</v>
      </c>
      <c r="B1283" s="250" t="s">
        <v>6694</v>
      </c>
      <c r="C1283" s="251">
        <f>COUNTIF(単語!G:L,単語辞書!A1283)</f>
        <v>7</v>
      </c>
      <c r="D1283" s="252"/>
      <c r="E1283" s="251" t="s">
        <v>135</v>
      </c>
      <c r="F1283" s="246">
        <v>41584</v>
      </c>
    </row>
    <row r="1284" spans="1:7" ht="13.5">
      <c r="A1284" s="249" t="s">
        <v>6650</v>
      </c>
      <c r="B1284" s="250" t="s">
        <v>6651</v>
      </c>
      <c r="C1284" s="251">
        <f>COUNTIF(単語!G:L,単語辞書!A1284)</f>
        <v>2</v>
      </c>
      <c r="D1284" s="252"/>
      <c r="E1284" s="251" t="s">
        <v>135</v>
      </c>
      <c r="F1284" s="246">
        <v>41584</v>
      </c>
    </row>
    <row r="1285" spans="1:7" ht="13.5">
      <c r="A1285" s="253" t="s">
        <v>6612</v>
      </c>
      <c r="B1285" s="250" t="s">
        <v>6653</v>
      </c>
      <c r="C1285" s="251">
        <f>COUNTIF(単語!G:L,単語辞書!A1285)</f>
        <v>1</v>
      </c>
      <c r="D1285" s="252"/>
      <c r="E1285" s="251" t="s">
        <v>135</v>
      </c>
      <c r="F1285" s="246">
        <v>41584</v>
      </c>
    </row>
    <row r="1286" spans="1:7" ht="13.5">
      <c r="A1286" s="253" t="s">
        <v>6654</v>
      </c>
      <c r="B1286" s="250" t="s">
        <v>6656</v>
      </c>
      <c r="C1286" s="251">
        <f>COUNTIF(単語!G:L,単語辞書!A1286)</f>
        <v>1</v>
      </c>
      <c r="D1286" s="252"/>
      <c r="E1286" s="251" t="s">
        <v>135</v>
      </c>
      <c r="F1286" s="246">
        <v>41584</v>
      </c>
    </row>
    <row r="1287" spans="1:7" ht="13.5">
      <c r="A1287" s="253" t="s">
        <v>6613</v>
      </c>
      <c r="B1287" s="250" t="s">
        <v>6663</v>
      </c>
      <c r="C1287" s="251">
        <f>COUNTIF(単語!G:L,単語辞書!A1287)</f>
        <v>1</v>
      </c>
      <c r="D1287" s="252"/>
      <c r="E1287" s="251" t="s">
        <v>135</v>
      </c>
      <c r="F1287" s="246">
        <v>41584</v>
      </c>
    </row>
    <row r="1288" spans="1:7" ht="13.5">
      <c r="A1288" s="249" t="s">
        <v>6668</v>
      </c>
      <c r="B1288" s="250" t="s">
        <v>6669</v>
      </c>
      <c r="C1288" s="251">
        <f>COUNTIF(単語!G:L,単語辞書!A1288)</f>
        <v>0</v>
      </c>
      <c r="D1288" s="252"/>
      <c r="E1288" s="251" t="s">
        <v>135</v>
      </c>
      <c r="F1288" s="246">
        <v>41584</v>
      </c>
    </row>
    <row r="1289" spans="1:7" ht="13.5">
      <c r="A1289" s="253" t="s">
        <v>446</v>
      </c>
      <c r="B1289" s="250" t="s">
        <v>6691</v>
      </c>
      <c r="C1289" s="251">
        <f>COUNTIF(単語!G:L,単語辞書!A1289)</f>
        <v>2</v>
      </c>
      <c r="D1289" s="252"/>
      <c r="E1289" s="251" t="s">
        <v>135</v>
      </c>
      <c r="F1289" s="246">
        <v>41584</v>
      </c>
    </row>
    <row r="1290" spans="1:7" ht="13.5">
      <c r="A1290" s="249" t="s">
        <v>6732</v>
      </c>
      <c r="B1290" s="250" t="s">
        <v>6733</v>
      </c>
      <c r="C1290" s="251">
        <f>COUNTIF(単語!G:L,単語辞書!A1290)</f>
        <v>1</v>
      </c>
      <c r="D1290" s="252"/>
      <c r="E1290" s="251" t="s">
        <v>6736</v>
      </c>
      <c r="F1290" s="246">
        <v>41586</v>
      </c>
    </row>
    <row r="1291" spans="1:7" ht="13.5">
      <c r="A1291" s="249" t="s">
        <v>6734</v>
      </c>
      <c r="B1291" s="250" t="s">
        <v>6735</v>
      </c>
      <c r="C1291" s="251">
        <f>COUNTIF(単語!G:L,単語辞書!A1291)</f>
        <v>8</v>
      </c>
      <c r="D1291" s="252"/>
      <c r="E1291" s="251" t="s">
        <v>6736</v>
      </c>
      <c r="F1291" s="246">
        <v>41586</v>
      </c>
      <c r="G1291" s="199" t="s">
        <v>6737</v>
      </c>
    </row>
    <row r="1292" spans="1:7" ht="13.5">
      <c r="A1292" s="249" t="s">
        <v>6738</v>
      </c>
      <c r="B1292" s="250" t="s">
        <v>6739</v>
      </c>
      <c r="C1292" s="251">
        <f>COUNTIF(単語!G:L,単語辞書!A1292)</f>
        <v>9</v>
      </c>
      <c r="D1292" s="252"/>
      <c r="E1292" s="251" t="s">
        <v>6740</v>
      </c>
      <c r="F1292" s="246">
        <v>41586</v>
      </c>
      <c r="G1292" s="199" t="s">
        <v>6737</v>
      </c>
    </row>
    <row r="1293" spans="1:7" ht="13.5">
      <c r="A1293" s="249" t="s">
        <v>6741</v>
      </c>
      <c r="B1293" s="250" t="s">
        <v>6742</v>
      </c>
      <c r="C1293" s="251">
        <f>COUNTIF(単語!G:L,単語辞書!A1293)</f>
        <v>4</v>
      </c>
      <c r="D1293" s="252"/>
      <c r="E1293" s="251" t="s">
        <v>6740</v>
      </c>
      <c r="F1293" s="246">
        <v>41586</v>
      </c>
      <c r="G1293" s="199" t="s">
        <v>6737</v>
      </c>
    </row>
    <row r="1294" spans="1:7" ht="13.5">
      <c r="A1294" s="249" t="s">
        <v>6743</v>
      </c>
      <c r="B1294" s="250" t="s">
        <v>6744</v>
      </c>
      <c r="C1294" s="251">
        <f>COUNTIF(単語!G:L,単語辞書!A1294)</f>
        <v>4</v>
      </c>
      <c r="D1294" s="252"/>
      <c r="E1294" s="251" t="s">
        <v>6740</v>
      </c>
      <c r="F1294" s="246">
        <v>41586</v>
      </c>
      <c r="G1294" s="199" t="s">
        <v>6737</v>
      </c>
    </row>
    <row r="1295" spans="1:7" ht="13.5">
      <c r="A1295" s="249" t="s">
        <v>6745</v>
      </c>
      <c r="B1295" s="250" t="s">
        <v>6746</v>
      </c>
      <c r="C1295" s="251">
        <f>COUNTIF(単語!G:L,単語辞書!A1295)</f>
        <v>2</v>
      </c>
      <c r="D1295" s="252"/>
      <c r="E1295" s="251" t="s">
        <v>6747</v>
      </c>
      <c r="F1295" s="246">
        <v>41586</v>
      </c>
      <c r="G1295" s="199" t="s">
        <v>6737</v>
      </c>
    </row>
    <row r="1296" spans="1:7" ht="13.5">
      <c r="A1296" s="253" t="s">
        <v>6748</v>
      </c>
      <c r="B1296" s="250" t="s">
        <v>6749</v>
      </c>
      <c r="C1296" s="251">
        <f>COUNTIF(単語!G:L,単語辞書!A1296)</f>
        <v>2</v>
      </c>
      <c r="D1296" s="252"/>
      <c r="E1296" s="251" t="s">
        <v>6740</v>
      </c>
      <c r="F1296" s="246">
        <v>41586</v>
      </c>
      <c r="G1296" s="199" t="s">
        <v>6737</v>
      </c>
    </row>
    <row r="1297" spans="1:7" ht="13.5">
      <c r="A1297" s="253" t="s">
        <v>6750</v>
      </c>
      <c r="B1297" s="250" t="s">
        <v>6751</v>
      </c>
      <c r="C1297" s="251">
        <f>COUNTIF(単語!G:L,単語辞書!A1297)</f>
        <v>1</v>
      </c>
      <c r="D1297" s="252"/>
      <c r="E1297" s="251" t="s">
        <v>6740</v>
      </c>
      <c r="F1297" s="246">
        <v>41586</v>
      </c>
      <c r="G1297" s="199" t="s">
        <v>6737</v>
      </c>
    </row>
    <row r="1298" spans="1:7" ht="13.5">
      <c r="A1298" s="249" t="s">
        <v>6752</v>
      </c>
      <c r="B1298" s="250" t="s">
        <v>6753</v>
      </c>
      <c r="C1298" s="251">
        <f>COUNTIF(単語!G:L,単語辞書!A1298)</f>
        <v>2</v>
      </c>
      <c r="D1298" s="252"/>
      <c r="E1298" s="251" t="s">
        <v>6740</v>
      </c>
      <c r="F1298" s="246">
        <v>41586</v>
      </c>
      <c r="G1298" s="199" t="s">
        <v>6737</v>
      </c>
    </row>
    <row r="1299" spans="1:7" ht="13.5">
      <c r="A1299" s="253" t="s">
        <v>6754</v>
      </c>
      <c r="B1299" s="250" t="s">
        <v>6755</v>
      </c>
      <c r="C1299" s="251">
        <f>COUNTIF(単語!G:L,単語辞書!A1299)</f>
        <v>1</v>
      </c>
      <c r="D1299" s="252"/>
      <c r="E1299" s="251" t="s">
        <v>6740</v>
      </c>
      <c r="F1299" s="246">
        <v>41586</v>
      </c>
      <c r="G1299" s="199" t="s">
        <v>6737</v>
      </c>
    </row>
    <row r="1300" spans="1:7" ht="13.5">
      <c r="A1300" s="253" t="s">
        <v>6756</v>
      </c>
      <c r="B1300" s="250" t="s">
        <v>6757</v>
      </c>
      <c r="C1300" s="251">
        <f>COUNTIF(単語!G:L,単語辞書!A1300)</f>
        <v>5</v>
      </c>
      <c r="D1300" s="252"/>
      <c r="E1300" s="251" t="s">
        <v>6740</v>
      </c>
      <c r="F1300" s="246">
        <v>41586</v>
      </c>
      <c r="G1300" s="199" t="s">
        <v>6737</v>
      </c>
    </row>
    <row r="1301" spans="1:7" ht="13.5">
      <c r="A1301" s="249" t="s">
        <v>6758</v>
      </c>
      <c r="B1301" s="250" t="s">
        <v>6758</v>
      </c>
      <c r="C1301" s="251">
        <f>COUNTIF(単語!G:L,単語辞書!A1301)</f>
        <v>2</v>
      </c>
      <c r="D1301" s="252"/>
      <c r="E1301" s="251" t="s">
        <v>6740</v>
      </c>
      <c r="F1301" s="246">
        <v>41586</v>
      </c>
      <c r="G1301" s="199" t="s">
        <v>6737</v>
      </c>
    </row>
    <row r="1302" spans="1:7" ht="13.5">
      <c r="A1302" s="249" t="s">
        <v>6759</v>
      </c>
      <c r="B1302" s="250" t="s">
        <v>6760</v>
      </c>
      <c r="C1302" s="251">
        <f>COUNTIF(単語!G:L,単語辞書!A1302)</f>
        <v>2</v>
      </c>
      <c r="D1302" s="252"/>
      <c r="E1302" s="251" t="s">
        <v>6740</v>
      </c>
      <c r="F1302" s="246">
        <v>41586</v>
      </c>
      <c r="G1302" s="199" t="s">
        <v>6737</v>
      </c>
    </row>
    <row r="1303" spans="1:7" ht="13.5">
      <c r="A1303" s="253" t="s">
        <v>6761</v>
      </c>
      <c r="B1303" s="250" t="s">
        <v>6762</v>
      </c>
      <c r="C1303" s="251">
        <f>COUNTIF(単語!G:L,単語辞書!A1303)</f>
        <v>1</v>
      </c>
      <c r="D1303" s="252"/>
      <c r="E1303" s="251" t="s">
        <v>6740</v>
      </c>
      <c r="F1303" s="246">
        <v>41586</v>
      </c>
      <c r="G1303" s="199" t="s">
        <v>6737</v>
      </c>
    </row>
    <row r="1304" spans="1:7" ht="13.5">
      <c r="A1304" s="253" t="s">
        <v>6763</v>
      </c>
      <c r="B1304" s="250" t="s">
        <v>6764</v>
      </c>
      <c r="C1304" s="251">
        <f>COUNTIF(単語!G:L,単語辞書!A1304)</f>
        <v>1</v>
      </c>
      <c r="D1304" s="252"/>
      <c r="E1304" s="251" t="s">
        <v>6740</v>
      </c>
      <c r="F1304" s="246">
        <v>41586</v>
      </c>
      <c r="G1304" s="199" t="s">
        <v>6737</v>
      </c>
    </row>
    <row r="1305" spans="1:7" ht="13.5">
      <c r="A1305" s="249" t="s">
        <v>6841</v>
      </c>
      <c r="B1305" s="250" t="s">
        <v>6845</v>
      </c>
      <c r="C1305" s="251">
        <f>COUNTIF(単語!G:L,単語辞書!A1305)</f>
        <v>5</v>
      </c>
      <c r="D1305" s="252"/>
      <c r="E1305" s="251" t="s">
        <v>6462</v>
      </c>
      <c r="F1305" s="246">
        <v>41589</v>
      </c>
    </row>
    <row r="1306" spans="1:7" ht="13.5">
      <c r="A1306" s="249" t="s">
        <v>6842</v>
      </c>
      <c r="B1306" s="250" t="s">
        <v>6846</v>
      </c>
      <c r="C1306" s="251">
        <f>COUNTIF(単語!G:L,単語辞書!A1306)</f>
        <v>5</v>
      </c>
      <c r="D1306" s="252"/>
      <c r="E1306" s="251" t="s">
        <v>6462</v>
      </c>
      <c r="F1306" s="246">
        <v>41589</v>
      </c>
    </row>
    <row r="1307" spans="1:7" ht="13.5">
      <c r="A1307" s="249" t="s">
        <v>6843</v>
      </c>
      <c r="B1307" s="250" t="s">
        <v>6847</v>
      </c>
      <c r="C1307" s="251">
        <f>COUNTIF(単語!G:L,単語辞書!A1307)</f>
        <v>2</v>
      </c>
      <c r="D1307" s="252"/>
      <c r="E1307" s="251" t="s">
        <v>6462</v>
      </c>
      <c r="F1307" s="246">
        <v>41589</v>
      </c>
    </row>
    <row r="1308" spans="1:7" ht="13.5">
      <c r="A1308" s="249" t="s">
        <v>6844</v>
      </c>
      <c r="B1308" s="250" t="s">
        <v>6848</v>
      </c>
      <c r="C1308" s="251">
        <f>COUNTIF(単語!G:L,単語辞書!A1308)</f>
        <v>3</v>
      </c>
      <c r="D1308" s="252"/>
      <c r="E1308" s="251" t="s">
        <v>6462</v>
      </c>
      <c r="F1308" s="246">
        <v>41589</v>
      </c>
    </row>
    <row r="1309" spans="1:7" ht="13.5">
      <c r="A1309" s="249" t="s">
        <v>6853</v>
      </c>
      <c r="B1309" s="250" t="s">
        <v>6857</v>
      </c>
      <c r="C1309" s="251">
        <f>COUNTIF(単語!G:L,単語辞書!A1309)</f>
        <v>1</v>
      </c>
      <c r="D1309" s="252"/>
      <c r="E1309" s="251" t="s">
        <v>6462</v>
      </c>
      <c r="F1309" s="246">
        <v>41589</v>
      </c>
    </row>
    <row r="1310" spans="1:7" ht="13.5">
      <c r="A1310" s="249" t="s">
        <v>6855</v>
      </c>
      <c r="B1310" s="250" t="s">
        <v>6856</v>
      </c>
      <c r="C1310" s="251">
        <f>COUNTIF(単語!G:L,単語辞書!A1310)</f>
        <v>4</v>
      </c>
      <c r="D1310" s="252"/>
      <c r="E1310" s="251" t="s">
        <v>6462</v>
      </c>
      <c r="F1310" s="246">
        <v>41589</v>
      </c>
    </row>
    <row r="1311" spans="1:7" ht="13.5">
      <c r="A1311" s="253" t="s">
        <v>2571</v>
      </c>
      <c r="B1311" s="250" t="s">
        <v>6862</v>
      </c>
      <c r="C1311" s="251">
        <f>COUNTIF(単語!G:L,単語辞書!A1311)</f>
        <v>1</v>
      </c>
      <c r="D1311" s="252"/>
      <c r="E1311" s="251" t="s">
        <v>6462</v>
      </c>
      <c r="F1311" s="246">
        <v>41589</v>
      </c>
    </row>
    <row r="1312" spans="1:7" ht="13.5">
      <c r="A1312" s="249" t="s">
        <v>6864</v>
      </c>
      <c r="B1312" s="250" t="s">
        <v>6865</v>
      </c>
      <c r="C1312" s="251">
        <f>COUNTIF(単語!G:L,単語辞書!A1312)</f>
        <v>1</v>
      </c>
      <c r="D1312" s="252"/>
      <c r="E1312" s="251" t="s">
        <v>135</v>
      </c>
      <c r="F1312" s="246">
        <v>41589</v>
      </c>
    </row>
    <row r="1313" spans="1:6" ht="13.5">
      <c r="A1313" s="249" t="s">
        <v>6866</v>
      </c>
      <c r="B1313" s="250" t="s">
        <v>6867</v>
      </c>
      <c r="C1313" s="251">
        <f>COUNTIF(単語!G:L,単語辞書!A1313)</f>
        <v>2</v>
      </c>
      <c r="D1313" s="252"/>
      <c r="E1313" s="251" t="s">
        <v>135</v>
      </c>
      <c r="F1313" s="246">
        <v>41589</v>
      </c>
    </row>
    <row r="1314" spans="1:6" ht="13.5">
      <c r="A1314" s="253" t="s">
        <v>6869</v>
      </c>
      <c r="B1314" s="250" t="s">
        <v>6876</v>
      </c>
      <c r="C1314" s="251">
        <f>COUNTIF(単語!G:L,単語辞書!A1314)</f>
        <v>1</v>
      </c>
      <c r="D1314" s="252"/>
      <c r="E1314" s="251" t="s">
        <v>135</v>
      </c>
      <c r="F1314" s="246">
        <v>41589</v>
      </c>
    </row>
    <row r="1315" spans="1:6" ht="13.5">
      <c r="A1315" s="253" t="s">
        <v>6871</v>
      </c>
      <c r="B1315" s="250" t="s">
        <v>6894</v>
      </c>
      <c r="C1315" s="251">
        <f>COUNTIF(単語!G:L,単語辞書!A1315)</f>
        <v>1</v>
      </c>
      <c r="D1315" s="252"/>
      <c r="E1315" s="251" t="s">
        <v>135</v>
      </c>
      <c r="F1315" s="246">
        <v>41589</v>
      </c>
    </row>
    <row r="1316" spans="1:6" ht="13.5">
      <c r="A1316" s="253" t="s">
        <v>6874</v>
      </c>
      <c r="B1316" s="250" t="s">
        <v>6875</v>
      </c>
      <c r="C1316" s="251">
        <f>COUNTIF(単語!G:L,単語辞書!A1316)</f>
        <v>5</v>
      </c>
      <c r="D1316" s="252"/>
      <c r="E1316" s="251" t="s">
        <v>135</v>
      </c>
      <c r="F1316" s="246">
        <v>41589</v>
      </c>
    </row>
    <row r="1317" spans="1:6" ht="13.5">
      <c r="A1317" s="249" t="s">
        <v>6878</v>
      </c>
      <c r="B1317" s="250" t="s">
        <v>6879</v>
      </c>
      <c r="C1317" s="251">
        <f>COUNTIF(単語!G:L,単語辞書!A1317)</f>
        <v>2</v>
      </c>
      <c r="D1317" s="252"/>
      <c r="E1317" s="251" t="s">
        <v>135</v>
      </c>
      <c r="F1317" s="246">
        <v>41589</v>
      </c>
    </row>
    <row r="1318" spans="1:6" ht="13.5">
      <c r="A1318" s="253" t="s">
        <v>6880</v>
      </c>
      <c r="B1318" s="250" t="s">
        <v>6882</v>
      </c>
      <c r="C1318" s="251">
        <f>COUNTIF(単語!G:L,単語辞書!A1318)</f>
        <v>1</v>
      </c>
      <c r="D1318" s="252"/>
      <c r="E1318" s="251" t="s">
        <v>135</v>
      </c>
      <c r="F1318" s="246">
        <v>41589</v>
      </c>
    </row>
    <row r="1319" spans="1:6" ht="13.5">
      <c r="A1319" s="249" t="s">
        <v>6883</v>
      </c>
      <c r="B1319" s="250" t="s">
        <v>6884</v>
      </c>
      <c r="C1319" s="251">
        <f>COUNTIF(単語!G:L,単語辞書!A1319)</f>
        <v>2</v>
      </c>
      <c r="D1319" s="252"/>
      <c r="E1319" s="251" t="s">
        <v>135</v>
      </c>
      <c r="F1319" s="246">
        <v>41589</v>
      </c>
    </row>
    <row r="1320" spans="1:6" ht="13.5">
      <c r="A1320" s="249" t="s">
        <v>6886</v>
      </c>
      <c r="B1320" s="250" t="s">
        <v>6887</v>
      </c>
      <c r="C1320" s="251">
        <f>COUNTIF(単語!G:L,単語辞書!A1320)</f>
        <v>1</v>
      </c>
      <c r="D1320" s="252"/>
      <c r="E1320" s="251" t="s">
        <v>135</v>
      </c>
      <c r="F1320" s="246">
        <v>41589</v>
      </c>
    </row>
    <row r="1321" spans="1:6" ht="13.5">
      <c r="A1321" s="249" t="s">
        <v>6890</v>
      </c>
      <c r="B1321" s="250" t="s">
        <v>6891</v>
      </c>
      <c r="C1321" s="251">
        <f>COUNTIF(単語!G:L,単語辞書!A1321)</f>
        <v>4</v>
      </c>
      <c r="D1321" s="252"/>
      <c r="E1321" s="251" t="s">
        <v>135</v>
      </c>
      <c r="F1321" s="246">
        <v>41589</v>
      </c>
    </row>
    <row r="1322" spans="1:6" ht="13.5">
      <c r="A1322" s="249" t="s">
        <v>6895</v>
      </c>
      <c r="B1322" s="250" t="s">
        <v>6896</v>
      </c>
      <c r="C1322" s="251">
        <f>COUNTIF(単語!G:L,単語辞書!A1322)</f>
        <v>19</v>
      </c>
      <c r="D1322" s="252"/>
      <c r="E1322" s="251" t="s">
        <v>135</v>
      </c>
      <c r="F1322" s="246">
        <v>41589</v>
      </c>
    </row>
    <row r="1323" spans="1:6" ht="13.5">
      <c r="A1323" s="249" t="s">
        <v>6901</v>
      </c>
      <c r="B1323" s="250" t="s">
        <v>6902</v>
      </c>
      <c r="C1323" s="251">
        <f>COUNTIF(単語!G:L,単語辞書!A1323)</f>
        <v>2</v>
      </c>
      <c r="D1323" s="252"/>
      <c r="E1323" s="251" t="s">
        <v>135</v>
      </c>
      <c r="F1323" s="246">
        <v>41589</v>
      </c>
    </row>
    <row r="1324" spans="1:6" ht="13.5">
      <c r="A1324" s="249" t="s">
        <v>6968</v>
      </c>
      <c r="B1324" s="250" t="s">
        <v>6969</v>
      </c>
      <c r="C1324" s="251">
        <f>COUNTIF(単語!G:L,単語辞書!A1324)</f>
        <v>1</v>
      </c>
      <c r="D1324" s="252"/>
      <c r="E1324" s="251" t="s">
        <v>135</v>
      </c>
      <c r="F1324" s="246">
        <v>41589</v>
      </c>
    </row>
    <row r="1325" spans="1:6" ht="13.5">
      <c r="A1325" s="249" t="s">
        <v>6972</v>
      </c>
      <c r="B1325" s="250" t="s">
        <v>6973</v>
      </c>
      <c r="C1325" s="251">
        <f>COUNTIF(単語!G:L,単語辞書!A1325)</f>
        <v>1</v>
      </c>
      <c r="D1325" s="252"/>
      <c r="E1325" s="251" t="s">
        <v>135</v>
      </c>
      <c r="F1325" s="246">
        <v>41589</v>
      </c>
    </row>
    <row r="1326" spans="1:6" ht="13.5">
      <c r="A1326" s="249" t="s">
        <v>6975</v>
      </c>
      <c r="B1326" s="250" t="s">
        <v>6976</v>
      </c>
      <c r="C1326" s="251">
        <f>COUNTIF(単語!G:L,単語辞書!A1326)</f>
        <v>1</v>
      </c>
      <c r="D1326" s="252"/>
      <c r="E1326" s="251" t="s">
        <v>135</v>
      </c>
      <c r="F1326" s="246">
        <v>41589</v>
      </c>
    </row>
    <row r="1327" spans="1:6" ht="13.5">
      <c r="A1327" s="253" t="s">
        <v>7011</v>
      </c>
      <c r="B1327" s="250" t="s">
        <v>7013</v>
      </c>
      <c r="C1327" s="251">
        <f>COUNTIF(単語!G:L,単語辞書!A1327)</f>
        <v>4</v>
      </c>
      <c r="D1327" s="252"/>
      <c r="E1327" s="251" t="s">
        <v>135</v>
      </c>
      <c r="F1327" s="246">
        <v>41603</v>
      </c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4674</v>
      </c>
      <c r="B1331" s="199" t="s">
        <v>4674</v>
      </c>
      <c r="C1331" s="199" t="s">
        <v>4674</v>
      </c>
      <c r="E1331" s="200"/>
      <c r="F1331" s="79"/>
    </row>
  </sheetData>
  <autoFilter ref="A1:F1266"/>
  <phoneticPr fontId="4"/>
  <conditionalFormatting sqref="A1608">
    <cfRule type="duplicateValues" dxfId="67" priority="1" stopIfTrue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C10" sqref="C10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6251</v>
      </c>
      <c r="B1" s="226" t="s">
        <v>1421</v>
      </c>
      <c r="C1" s="226" t="s">
        <v>58</v>
      </c>
      <c r="D1" s="226" t="s">
        <v>6404</v>
      </c>
      <c r="E1" s="226" t="s">
        <v>64</v>
      </c>
      <c r="F1" s="222" t="s">
        <v>4657</v>
      </c>
      <c r="G1" s="191" t="s">
        <v>4656</v>
      </c>
    </row>
    <row r="2" spans="1:7">
      <c r="A2" s="90" t="s">
        <v>6403</v>
      </c>
      <c r="B2" s="90" t="s">
        <v>6257</v>
      </c>
      <c r="C2" s="90">
        <v>256</v>
      </c>
      <c r="D2" s="90"/>
      <c r="E2" s="224"/>
      <c r="F2" s="224" t="s">
        <v>6318</v>
      </c>
      <c r="G2" s="79"/>
    </row>
    <row r="3" spans="1:7">
      <c r="A3" s="90" t="s">
        <v>6402</v>
      </c>
      <c r="B3" s="90" t="s">
        <v>6257</v>
      </c>
      <c r="C3" s="90">
        <v>256</v>
      </c>
      <c r="D3" s="90"/>
      <c r="E3" s="224"/>
      <c r="F3" s="224" t="s">
        <v>6318</v>
      </c>
      <c r="G3" s="79"/>
    </row>
    <row r="4" spans="1:7">
      <c r="A4" s="90" t="s">
        <v>6401</v>
      </c>
      <c r="B4" s="90" t="s">
        <v>6257</v>
      </c>
      <c r="C4" s="90">
        <v>1</v>
      </c>
      <c r="D4" s="90"/>
      <c r="E4" s="224"/>
      <c r="F4" s="224" t="s">
        <v>6318</v>
      </c>
      <c r="G4" s="79"/>
    </row>
    <row r="5" spans="1:7">
      <c r="A5" s="90" t="s">
        <v>6400</v>
      </c>
      <c r="B5" s="90" t="s">
        <v>6257</v>
      </c>
      <c r="C5" s="90">
        <v>4</v>
      </c>
      <c r="D5" s="90"/>
      <c r="E5" s="224"/>
      <c r="F5" s="224" t="s">
        <v>6318</v>
      </c>
      <c r="G5" s="79"/>
    </row>
    <row r="6" spans="1:7">
      <c r="A6" s="90" t="s">
        <v>6399</v>
      </c>
      <c r="B6" s="90" t="s">
        <v>6342</v>
      </c>
      <c r="C6" s="279">
        <v>11</v>
      </c>
      <c r="D6" s="90"/>
      <c r="E6" s="224"/>
      <c r="F6" s="277" t="s">
        <v>7023</v>
      </c>
      <c r="G6" s="278">
        <v>41604</v>
      </c>
    </row>
    <row r="7" spans="1:7">
      <c r="A7" s="90" t="s">
        <v>6398</v>
      </c>
      <c r="B7" s="90" t="s">
        <v>6257</v>
      </c>
      <c r="C7" s="90">
        <v>40</v>
      </c>
      <c r="D7" s="90"/>
      <c r="E7" s="224"/>
      <c r="F7" s="224" t="s">
        <v>6318</v>
      </c>
      <c r="G7" s="79"/>
    </row>
    <row r="8" spans="1:7">
      <c r="A8" s="90" t="s">
        <v>6397</v>
      </c>
      <c r="B8" s="90" t="s">
        <v>6257</v>
      </c>
      <c r="C8" s="90">
        <v>18</v>
      </c>
      <c r="D8" s="90"/>
      <c r="E8" s="224" t="s">
        <v>6396</v>
      </c>
      <c r="F8" s="224" t="s">
        <v>6318</v>
      </c>
      <c r="G8" s="79"/>
    </row>
    <row r="9" spans="1:7">
      <c r="A9" s="90" t="s">
        <v>6395</v>
      </c>
      <c r="B9" s="90" t="s">
        <v>6257</v>
      </c>
      <c r="C9" s="90">
        <v>48</v>
      </c>
      <c r="D9" s="90"/>
      <c r="E9" s="224"/>
      <c r="F9" s="224" t="s">
        <v>6318</v>
      </c>
      <c r="G9" s="79"/>
    </row>
    <row r="10" spans="1:7">
      <c r="A10" s="90" t="s">
        <v>3893</v>
      </c>
      <c r="B10" s="90" t="s">
        <v>6257</v>
      </c>
      <c r="C10" s="90">
        <v>9</v>
      </c>
      <c r="D10" s="90"/>
      <c r="E10" s="224"/>
      <c r="F10" s="224" t="s">
        <v>6318</v>
      </c>
      <c r="G10" s="79"/>
    </row>
    <row r="11" spans="1:7">
      <c r="A11" s="90" t="s">
        <v>6394</v>
      </c>
      <c r="B11" s="90" t="s">
        <v>6257</v>
      </c>
      <c r="C11" s="90">
        <v>1</v>
      </c>
      <c r="D11" s="90"/>
      <c r="E11" s="224"/>
      <c r="F11" s="224" t="s">
        <v>6318</v>
      </c>
      <c r="G11" s="79"/>
    </row>
    <row r="12" spans="1:7">
      <c r="A12" s="90" t="s">
        <v>6393</v>
      </c>
      <c r="B12" s="90" t="s">
        <v>6257</v>
      </c>
      <c r="C12" s="90">
        <v>2</v>
      </c>
      <c r="D12" s="90"/>
      <c r="E12" s="224"/>
      <c r="F12" s="224" t="s">
        <v>6318</v>
      </c>
      <c r="G12" s="79"/>
    </row>
    <row r="13" spans="1:7">
      <c r="A13" s="90" t="s">
        <v>6392</v>
      </c>
      <c r="B13" s="90" t="s">
        <v>6257</v>
      </c>
      <c r="C13" s="90">
        <v>5</v>
      </c>
      <c r="D13" s="90"/>
      <c r="E13" s="224"/>
      <c r="F13" s="224" t="s">
        <v>6318</v>
      </c>
      <c r="G13" s="79"/>
    </row>
    <row r="14" spans="1:7">
      <c r="A14" s="90" t="s">
        <v>2914</v>
      </c>
      <c r="B14" s="90" t="s">
        <v>6342</v>
      </c>
      <c r="C14" s="90">
        <v>5</v>
      </c>
      <c r="D14" s="90">
        <v>2</v>
      </c>
      <c r="E14" s="224"/>
      <c r="F14" s="224" t="s">
        <v>6318</v>
      </c>
      <c r="G14" s="79"/>
    </row>
    <row r="15" spans="1:7">
      <c r="A15" s="90" t="s">
        <v>11</v>
      </c>
      <c r="B15" s="90" t="s">
        <v>6342</v>
      </c>
      <c r="C15" s="90">
        <v>2</v>
      </c>
      <c r="D15" s="90"/>
      <c r="E15" s="224"/>
      <c r="F15" s="224" t="s">
        <v>6318</v>
      </c>
      <c r="G15" s="79"/>
    </row>
    <row r="16" spans="1:7">
      <c r="A16" s="90" t="s">
        <v>6391</v>
      </c>
      <c r="B16" s="90" t="s">
        <v>6257</v>
      </c>
      <c r="C16" s="90">
        <v>3</v>
      </c>
      <c r="D16" s="90"/>
      <c r="E16" s="224"/>
      <c r="F16" s="224" t="s">
        <v>6318</v>
      </c>
      <c r="G16" s="79"/>
    </row>
    <row r="17" spans="1:7">
      <c r="A17" s="90" t="s">
        <v>6390</v>
      </c>
      <c r="B17" s="90" t="s">
        <v>6257</v>
      </c>
      <c r="C17" s="90">
        <v>41</v>
      </c>
      <c r="D17" s="90"/>
      <c r="E17" s="224"/>
      <c r="F17" s="224" t="s">
        <v>6318</v>
      </c>
      <c r="G17" s="79"/>
    </row>
    <row r="18" spans="1:7">
      <c r="A18" s="90" t="s">
        <v>6389</v>
      </c>
      <c r="B18" s="90" t="s">
        <v>6257</v>
      </c>
      <c r="C18" s="90">
        <v>30</v>
      </c>
      <c r="D18" s="90"/>
      <c r="E18" s="224"/>
      <c r="F18" s="224" t="s">
        <v>6318</v>
      </c>
      <c r="G18" s="79"/>
    </row>
    <row r="19" spans="1:7">
      <c r="A19" s="90" t="s">
        <v>6388</v>
      </c>
      <c r="B19" s="90" t="s">
        <v>6257</v>
      </c>
      <c r="C19" s="90">
        <v>30</v>
      </c>
      <c r="D19" s="90"/>
      <c r="E19" s="224"/>
      <c r="F19" s="224" t="s">
        <v>6318</v>
      </c>
      <c r="G19" s="79"/>
    </row>
    <row r="20" spans="1:7">
      <c r="A20" s="90" t="s">
        <v>6387</v>
      </c>
      <c r="B20" s="90" t="s">
        <v>6257</v>
      </c>
      <c r="C20" s="90">
        <v>59</v>
      </c>
      <c r="D20" s="90"/>
      <c r="E20" s="224"/>
      <c r="F20" s="224" t="s">
        <v>6318</v>
      </c>
      <c r="G20" s="79"/>
    </row>
    <row r="21" spans="1:7">
      <c r="A21" s="90" t="s">
        <v>6386</v>
      </c>
      <c r="B21" s="90" t="s">
        <v>6257</v>
      </c>
      <c r="C21" s="90">
        <v>30</v>
      </c>
      <c r="D21" s="90"/>
      <c r="E21" s="224"/>
      <c r="F21" s="224" t="s">
        <v>6318</v>
      </c>
      <c r="G21" s="79"/>
    </row>
    <row r="22" spans="1:7">
      <c r="A22" s="90" t="s">
        <v>6385</v>
      </c>
      <c r="B22" s="90" t="s">
        <v>6257</v>
      </c>
      <c r="C22" s="90">
        <v>30</v>
      </c>
      <c r="D22" s="90"/>
      <c r="E22" s="224"/>
      <c r="F22" s="224" t="s">
        <v>6318</v>
      </c>
      <c r="G22" s="79"/>
    </row>
    <row r="23" spans="1:7">
      <c r="A23" s="90" t="s">
        <v>3338</v>
      </c>
      <c r="B23" s="90" t="s">
        <v>6257</v>
      </c>
      <c r="C23" s="90">
        <v>80</v>
      </c>
      <c r="D23" s="90"/>
      <c r="E23" s="224"/>
      <c r="F23" s="224" t="s">
        <v>6318</v>
      </c>
      <c r="G23" s="79"/>
    </row>
    <row r="24" spans="1:7">
      <c r="A24" s="90" t="s">
        <v>6384</v>
      </c>
      <c r="B24" s="90" t="s">
        <v>6257</v>
      </c>
      <c r="C24" s="90">
        <v>50</v>
      </c>
      <c r="D24" s="90"/>
      <c r="E24" s="224"/>
      <c r="F24" s="224" t="s">
        <v>6318</v>
      </c>
      <c r="G24" s="79"/>
    </row>
    <row r="25" spans="1:7">
      <c r="A25" s="90" t="s">
        <v>3286</v>
      </c>
      <c r="B25" s="90" t="s">
        <v>6257</v>
      </c>
      <c r="C25" s="90">
        <v>3</v>
      </c>
      <c r="D25" s="90"/>
      <c r="E25" s="224"/>
      <c r="F25" s="224" t="s">
        <v>6318</v>
      </c>
      <c r="G25" s="79"/>
    </row>
    <row r="26" spans="1:7">
      <c r="A26" s="90" t="s">
        <v>1834</v>
      </c>
      <c r="B26" s="90" t="s">
        <v>6257</v>
      </c>
      <c r="C26" s="90">
        <v>18</v>
      </c>
      <c r="D26" s="90"/>
      <c r="E26" s="224" t="s">
        <v>6309</v>
      </c>
      <c r="F26" s="224" t="s">
        <v>6318</v>
      </c>
      <c r="G26" s="79"/>
    </row>
    <row r="27" spans="1:7">
      <c r="A27" s="90" t="s">
        <v>6383</v>
      </c>
      <c r="B27" s="90" t="s">
        <v>6257</v>
      </c>
      <c r="C27" s="90">
        <v>60</v>
      </c>
      <c r="D27" s="90"/>
      <c r="E27" s="224"/>
      <c r="F27" s="224" t="s">
        <v>6318</v>
      </c>
      <c r="G27" s="79"/>
    </row>
    <row r="28" spans="1:7">
      <c r="A28" s="90" t="s">
        <v>6382</v>
      </c>
      <c r="B28" s="90" t="s">
        <v>6257</v>
      </c>
      <c r="C28" s="90">
        <v>6</v>
      </c>
      <c r="D28" s="90"/>
      <c r="E28" s="224"/>
      <c r="F28" s="224" t="s">
        <v>6318</v>
      </c>
      <c r="G28" s="79"/>
    </row>
    <row r="29" spans="1:7">
      <c r="A29" s="90" t="s">
        <v>6381</v>
      </c>
      <c r="B29" s="90" t="s">
        <v>6257</v>
      </c>
      <c r="C29" s="90">
        <v>60</v>
      </c>
      <c r="D29" s="90"/>
      <c r="E29" s="224"/>
      <c r="F29" s="224" t="s">
        <v>6318</v>
      </c>
      <c r="G29" s="79"/>
    </row>
    <row r="30" spans="1:7">
      <c r="A30" s="90" t="s">
        <v>6380</v>
      </c>
      <c r="B30" s="90" t="s">
        <v>6257</v>
      </c>
      <c r="C30" s="90">
        <v>60</v>
      </c>
      <c r="D30" s="90"/>
      <c r="E30" s="224"/>
      <c r="F30" s="224" t="s">
        <v>6318</v>
      </c>
      <c r="G30" s="79"/>
    </row>
    <row r="31" spans="1:7">
      <c r="A31" s="90" t="s">
        <v>6379</v>
      </c>
      <c r="B31" s="90" t="s">
        <v>6257</v>
      </c>
      <c r="C31" s="90">
        <v>10</v>
      </c>
      <c r="D31" s="90"/>
      <c r="E31" s="224"/>
      <c r="F31" s="224" t="s">
        <v>6318</v>
      </c>
      <c r="G31" s="79"/>
    </row>
    <row r="32" spans="1:7">
      <c r="A32" s="90" t="s">
        <v>6378</v>
      </c>
      <c r="B32" s="90" t="s">
        <v>6257</v>
      </c>
      <c r="C32" s="90">
        <v>20</v>
      </c>
      <c r="D32" s="90"/>
      <c r="E32" s="224"/>
      <c r="F32" s="224" t="s">
        <v>6318</v>
      </c>
      <c r="G32" s="79"/>
    </row>
    <row r="33" spans="1:7">
      <c r="A33" s="90" t="s">
        <v>6377</v>
      </c>
      <c r="B33" s="90" t="s">
        <v>6257</v>
      </c>
      <c r="C33" s="90">
        <v>80</v>
      </c>
      <c r="D33" s="90"/>
      <c r="E33" s="224"/>
      <c r="F33" s="224" t="s">
        <v>6318</v>
      </c>
      <c r="G33" s="79"/>
    </row>
    <row r="34" spans="1:7">
      <c r="A34" s="90" t="s">
        <v>6376</v>
      </c>
      <c r="B34" s="90" t="s">
        <v>6257</v>
      </c>
      <c r="C34" s="90">
        <v>10</v>
      </c>
      <c r="D34" s="90"/>
      <c r="E34" s="224"/>
      <c r="F34" s="224" t="s">
        <v>6318</v>
      </c>
      <c r="G34" s="79"/>
    </row>
    <row r="35" spans="1:7">
      <c r="A35" s="90" t="s">
        <v>6466</v>
      </c>
      <c r="B35" s="90" t="s">
        <v>6257</v>
      </c>
      <c r="C35" s="90">
        <v>4</v>
      </c>
      <c r="D35" s="90"/>
      <c r="E35" s="224"/>
      <c r="F35" s="224" t="s">
        <v>6318</v>
      </c>
      <c r="G35" s="79"/>
    </row>
    <row r="36" spans="1:7">
      <c r="A36" s="90" t="s">
        <v>3455</v>
      </c>
      <c r="B36" s="90" t="s">
        <v>6257</v>
      </c>
      <c r="C36" s="90">
        <v>8</v>
      </c>
      <c r="D36" s="90"/>
      <c r="E36" s="224"/>
      <c r="F36" s="224" t="s">
        <v>6318</v>
      </c>
      <c r="G36" s="79"/>
    </row>
    <row r="37" spans="1:7">
      <c r="A37" s="90" t="s">
        <v>6375</v>
      </c>
      <c r="B37" s="90" t="s">
        <v>6257</v>
      </c>
      <c r="C37" s="90">
        <v>42</v>
      </c>
      <c r="D37" s="90"/>
      <c r="E37" s="224"/>
      <c r="F37" s="224" t="s">
        <v>6318</v>
      </c>
      <c r="G37" s="79"/>
    </row>
    <row r="38" spans="1:7">
      <c r="A38" s="90" t="s">
        <v>6374</v>
      </c>
      <c r="B38" s="90" t="s">
        <v>6342</v>
      </c>
      <c r="C38" s="90">
        <v>3</v>
      </c>
      <c r="D38" s="90"/>
      <c r="E38" s="224"/>
      <c r="F38" s="224" t="s">
        <v>6318</v>
      </c>
      <c r="G38" s="79"/>
    </row>
    <row r="39" spans="1:7">
      <c r="A39" s="90" t="s">
        <v>3642</v>
      </c>
      <c r="B39" s="90" t="s">
        <v>6257</v>
      </c>
      <c r="C39" s="90">
        <v>6</v>
      </c>
      <c r="D39" s="90"/>
      <c r="E39" s="224"/>
      <c r="F39" s="224" t="s">
        <v>6318</v>
      </c>
      <c r="G39" s="79"/>
    </row>
    <row r="40" spans="1:7">
      <c r="A40" s="90" t="s">
        <v>131</v>
      </c>
      <c r="B40" s="90" t="s">
        <v>6342</v>
      </c>
      <c r="C40" s="90">
        <v>3</v>
      </c>
      <c r="D40" s="90"/>
      <c r="E40" s="224"/>
      <c r="F40" s="224" t="s">
        <v>6318</v>
      </c>
      <c r="G40" s="79"/>
    </row>
    <row r="41" spans="1:7">
      <c r="A41" s="90" t="s">
        <v>4085</v>
      </c>
      <c r="B41" s="90" t="s">
        <v>6257</v>
      </c>
      <c r="C41" s="90">
        <v>4</v>
      </c>
      <c r="D41" s="90"/>
      <c r="E41" s="224"/>
      <c r="F41" s="224" t="s">
        <v>6318</v>
      </c>
      <c r="G41" s="79"/>
    </row>
    <row r="42" spans="1:7">
      <c r="A42" s="90" t="s">
        <v>6373</v>
      </c>
      <c r="B42" s="90" t="s">
        <v>6257</v>
      </c>
      <c r="C42" s="90">
        <v>20</v>
      </c>
      <c r="D42" s="90"/>
      <c r="E42" s="224"/>
      <c r="F42" s="224" t="s">
        <v>6318</v>
      </c>
      <c r="G42" s="79"/>
    </row>
    <row r="43" spans="1:7">
      <c r="A43" s="90" t="s">
        <v>3638</v>
      </c>
      <c r="B43" s="90" t="s">
        <v>6372</v>
      </c>
      <c r="C43" s="90" t="s">
        <v>6371</v>
      </c>
      <c r="D43" s="90"/>
      <c r="E43" s="224"/>
      <c r="F43" s="224" t="s">
        <v>6318</v>
      </c>
      <c r="G43" s="79"/>
    </row>
    <row r="44" spans="1:7">
      <c r="A44" s="90" t="s">
        <v>6370</v>
      </c>
      <c r="B44" s="90" t="s">
        <v>6257</v>
      </c>
      <c r="C44" s="90">
        <v>17</v>
      </c>
      <c r="D44" s="90"/>
      <c r="E44" s="224" t="s">
        <v>6354</v>
      </c>
      <c r="F44" s="224" t="s">
        <v>6318</v>
      </c>
      <c r="G44" s="79"/>
    </row>
    <row r="45" spans="1:7">
      <c r="A45" s="90" t="s">
        <v>6369</v>
      </c>
      <c r="B45" s="90" t="s">
        <v>6257</v>
      </c>
      <c r="C45" s="90">
        <v>32</v>
      </c>
      <c r="D45" s="90"/>
      <c r="E45" s="224"/>
      <c r="F45" s="224" t="s">
        <v>6318</v>
      </c>
      <c r="G45" s="79"/>
    </row>
    <row r="46" spans="1:7">
      <c r="A46" s="90" t="s">
        <v>6368</v>
      </c>
      <c r="B46" s="90" t="s">
        <v>6257</v>
      </c>
      <c r="C46" s="90">
        <v>16</v>
      </c>
      <c r="D46" s="90"/>
      <c r="E46" s="224"/>
      <c r="F46" s="224" t="s">
        <v>6318</v>
      </c>
      <c r="G46" s="79"/>
    </row>
    <row r="47" spans="1:7">
      <c r="A47" s="90" t="s">
        <v>1810</v>
      </c>
      <c r="B47" s="90" t="s">
        <v>6342</v>
      </c>
      <c r="C47" s="90">
        <v>2</v>
      </c>
      <c r="D47" s="90"/>
      <c r="E47" s="224"/>
      <c r="F47" s="224" t="s">
        <v>6318</v>
      </c>
      <c r="G47" s="79"/>
    </row>
    <row r="48" spans="1:7">
      <c r="A48" s="90" t="s">
        <v>465</v>
      </c>
      <c r="B48" s="90" t="s">
        <v>6257</v>
      </c>
      <c r="C48" s="90">
        <v>1</v>
      </c>
      <c r="D48" s="90"/>
      <c r="E48" s="224"/>
      <c r="F48" s="224" t="s">
        <v>6318</v>
      </c>
      <c r="G48" s="79"/>
    </row>
    <row r="49" spans="1:7">
      <c r="A49" s="90" t="s">
        <v>6367</v>
      </c>
      <c r="B49" s="90" t="s">
        <v>6257</v>
      </c>
      <c r="C49" s="90">
        <v>2</v>
      </c>
      <c r="D49" s="90"/>
      <c r="E49" s="224"/>
      <c r="F49" s="224" t="s">
        <v>6318</v>
      </c>
      <c r="G49" s="79"/>
    </row>
    <row r="50" spans="1:7">
      <c r="A50" s="90" t="s">
        <v>6366</v>
      </c>
      <c r="B50" s="90" t="s">
        <v>6257</v>
      </c>
      <c r="C50" s="90">
        <v>3</v>
      </c>
      <c r="D50" s="90"/>
      <c r="E50" s="224"/>
      <c r="F50" s="224" t="s">
        <v>6318</v>
      </c>
      <c r="G50" s="79"/>
    </row>
    <row r="51" spans="1:7">
      <c r="A51" s="90" t="s">
        <v>348</v>
      </c>
      <c r="B51" s="90" t="s">
        <v>6257</v>
      </c>
      <c r="C51" s="90">
        <v>32</v>
      </c>
      <c r="D51" s="90"/>
      <c r="E51" s="224"/>
      <c r="F51" s="224" t="s">
        <v>6318</v>
      </c>
      <c r="G51" s="79"/>
    </row>
    <row r="52" spans="1:7">
      <c r="A52" s="90" t="s">
        <v>6365</v>
      </c>
      <c r="B52" s="90" t="s">
        <v>6257</v>
      </c>
      <c r="C52" s="90">
        <v>42</v>
      </c>
      <c r="D52" s="90"/>
      <c r="E52" s="224"/>
      <c r="F52" s="224" t="s">
        <v>6318</v>
      </c>
      <c r="G52" s="79"/>
    </row>
    <row r="53" spans="1:7">
      <c r="A53" s="90" t="s">
        <v>2195</v>
      </c>
      <c r="B53" s="90" t="s">
        <v>6257</v>
      </c>
      <c r="C53" s="90">
        <v>40</v>
      </c>
      <c r="D53" s="90"/>
      <c r="E53" s="224"/>
      <c r="F53" s="224" t="s">
        <v>6318</v>
      </c>
      <c r="G53" s="79"/>
    </row>
    <row r="54" spans="1:7">
      <c r="A54" s="90" t="s">
        <v>2432</v>
      </c>
      <c r="B54" s="90" t="s">
        <v>6257</v>
      </c>
      <c r="C54" s="90">
        <v>3</v>
      </c>
      <c r="D54" s="90"/>
      <c r="E54" s="224"/>
      <c r="F54" s="224" t="s">
        <v>6318</v>
      </c>
      <c r="G54" s="79"/>
    </row>
    <row r="55" spans="1:7">
      <c r="A55" s="90" t="s">
        <v>6364</v>
      </c>
      <c r="B55" s="90" t="s">
        <v>6257</v>
      </c>
      <c r="C55" s="90">
        <v>4</v>
      </c>
      <c r="D55" s="90"/>
      <c r="E55" s="224"/>
      <c r="F55" s="224" t="s">
        <v>6318</v>
      </c>
      <c r="G55" s="79"/>
    </row>
    <row r="56" spans="1:7">
      <c r="A56" s="90" t="s">
        <v>6363</v>
      </c>
      <c r="B56" s="90" t="s">
        <v>6257</v>
      </c>
      <c r="C56" s="90">
        <v>5</v>
      </c>
      <c r="D56" s="90"/>
      <c r="E56" s="224"/>
      <c r="F56" s="224" t="s">
        <v>6318</v>
      </c>
      <c r="G56" s="79"/>
    </row>
    <row r="57" spans="1:7">
      <c r="A57" s="90" t="s">
        <v>6362</v>
      </c>
      <c r="B57" s="90" t="s">
        <v>6257</v>
      </c>
      <c r="C57" s="90">
        <v>8</v>
      </c>
      <c r="D57" s="90"/>
      <c r="E57" s="224"/>
      <c r="F57" s="224" t="s">
        <v>6318</v>
      </c>
      <c r="G57" s="79"/>
    </row>
    <row r="58" spans="1:7">
      <c r="A58" s="90" t="s">
        <v>6361</v>
      </c>
      <c r="B58" s="90" t="s">
        <v>6257</v>
      </c>
      <c r="C58" s="90">
        <v>14</v>
      </c>
      <c r="D58" s="90"/>
      <c r="E58" s="224" t="s">
        <v>6337</v>
      </c>
      <c r="F58" s="224" t="s">
        <v>6318</v>
      </c>
      <c r="G58" s="79"/>
    </row>
    <row r="59" spans="1:7">
      <c r="A59" s="90" t="s">
        <v>6360</v>
      </c>
      <c r="B59" s="90" t="s">
        <v>6257</v>
      </c>
      <c r="C59" s="90">
        <v>3</v>
      </c>
      <c r="D59" s="90"/>
      <c r="E59" s="224"/>
      <c r="F59" s="224" t="s">
        <v>6318</v>
      </c>
      <c r="G59" s="79"/>
    </row>
    <row r="60" spans="1:7">
      <c r="A60" s="90" t="s">
        <v>6359</v>
      </c>
      <c r="B60" s="90" t="s">
        <v>6257</v>
      </c>
      <c r="C60" s="90">
        <v>15</v>
      </c>
      <c r="D60" s="90"/>
      <c r="E60" s="224"/>
      <c r="F60" s="224" t="s">
        <v>6318</v>
      </c>
      <c r="G60" s="79"/>
    </row>
    <row r="61" spans="1:7">
      <c r="A61" s="90" t="s">
        <v>6358</v>
      </c>
      <c r="B61" s="90" t="s">
        <v>6257</v>
      </c>
      <c r="C61" s="90">
        <v>5</v>
      </c>
      <c r="D61" s="90"/>
      <c r="E61" s="224"/>
      <c r="F61" s="224" t="s">
        <v>6318</v>
      </c>
      <c r="G61" s="79"/>
    </row>
    <row r="62" spans="1:7">
      <c r="A62" s="90" t="s">
        <v>6357</v>
      </c>
      <c r="B62" s="90" t="s">
        <v>6257</v>
      </c>
      <c r="C62" s="90">
        <v>4</v>
      </c>
      <c r="D62" s="90"/>
      <c r="E62" s="224"/>
      <c r="F62" s="224" t="s">
        <v>6318</v>
      </c>
      <c r="G62" s="79"/>
    </row>
    <row r="63" spans="1:7">
      <c r="A63" s="90" t="s">
        <v>6356</v>
      </c>
      <c r="B63" s="90" t="s">
        <v>6257</v>
      </c>
      <c r="C63" s="90">
        <v>4</v>
      </c>
      <c r="D63" s="90"/>
      <c r="E63" s="224"/>
      <c r="F63" s="224" t="s">
        <v>6318</v>
      </c>
      <c r="G63" s="79"/>
    </row>
    <row r="64" spans="1:7">
      <c r="A64" s="90" t="s">
        <v>3321</v>
      </c>
      <c r="B64" s="90" t="s">
        <v>6257</v>
      </c>
      <c r="C64" s="90">
        <v>11</v>
      </c>
      <c r="D64" s="90"/>
      <c r="E64" s="224"/>
      <c r="F64" s="224" t="s">
        <v>6318</v>
      </c>
      <c r="G64" s="79"/>
    </row>
    <row r="65" spans="1:7">
      <c r="A65" s="90" t="s">
        <v>6355</v>
      </c>
      <c r="B65" s="90" t="s">
        <v>6257</v>
      </c>
      <c r="C65" s="90">
        <v>17</v>
      </c>
      <c r="D65" s="90"/>
      <c r="E65" s="224" t="s">
        <v>6354</v>
      </c>
      <c r="F65" s="224" t="s">
        <v>6318</v>
      </c>
      <c r="G65" s="79"/>
    </row>
    <row r="66" spans="1:7">
      <c r="A66" s="90" t="s">
        <v>6353</v>
      </c>
      <c r="B66" s="90" t="s">
        <v>6257</v>
      </c>
      <c r="C66" s="90">
        <v>2</v>
      </c>
      <c r="D66" s="90"/>
      <c r="E66" s="224"/>
      <c r="F66" s="224" t="s">
        <v>6318</v>
      </c>
      <c r="G66" s="79"/>
    </row>
    <row r="67" spans="1:7">
      <c r="A67" s="90" t="s">
        <v>6352</v>
      </c>
      <c r="B67" s="90" t="s">
        <v>6257</v>
      </c>
      <c r="C67" s="90">
        <v>9</v>
      </c>
      <c r="D67" s="90"/>
      <c r="E67" s="224"/>
      <c r="F67" s="224" t="s">
        <v>6318</v>
      </c>
      <c r="G67" s="79"/>
    </row>
    <row r="68" spans="1:7">
      <c r="A68" s="90" t="s">
        <v>1856</v>
      </c>
      <c r="B68" s="90" t="s">
        <v>6257</v>
      </c>
      <c r="C68" s="90">
        <v>9</v>
      </c>
      <c r="D68" s="90"/>
      <c r="E68" s="224"/>
      <c r="F68" s="224" t="s">
        <v>6318</v>
      </c>
      <c r="G68" s="79"/>
    </row>
    <row r="69" spans="1:7">
      <c r="A69" s="90" t="s">
        <v>6351</v>
      </c>
      <c r="B69" s="90" t="s">
        <v>6257</v>
      </c>
      <c r="C69" s="90">
        <v>9</v>
      </c>
      <c r="D69" s="90"/>
      <c r="E69" s="224"/>
      <c r="F69" s="224" t="s">
        <v>6318</v>
      </c>
      <c r="G69" s="79"/>
    </row>
    <row r="70" spans="1:7">
      <c r="A70" s="90" t="s">
        <v>3705</v>
      </c>
      <c r="B70" s="90" t="s">
        <v>6342</v>
      </c>
      <c r="C70" s="90">
        <v>5</v>
      </c>
      <c r="D70" s="90"/>
      <c r="E70" s="224"/>
      <c r="F70" s="224" t="s">
        <v>6318</v>
      </c>
      <c r="G70" s="79"/>
    </row>
    <row r="71" spans="1:7">
      <c r="A71" s="90" t="s">
        <v>6350</v>
      </c>
      <c r="B71" s="90" t="s">
        <v>6342</v>
      </c>
      <c r="C71" s="90">
        <v>7</v>
      </c>
      <c r="D71" s="90"/>
      <c r="E71" s="224"/>
      <c r="F71" s="224" t="s">
        <v>6318</v>
      </c>
      <c r="G71" s="79"/>
    </row>
    <row r="72" spans="1:7">
      <c r="A72" s="90" t="s">
        <v>4717</v>
      </c>
      <c r="B72" s="90" t="s">
        <v>6342</v>
      </c>
      <c r="C72" s="90">
        <v>5</v>
      </c>
      <c r="D72" s="90"/>
      <c r="E72" s="224"/>
      <c r="F72" s="224" t="s">
        <v>6318</v>
      </c>
      <c r="G72" s="79"/>
    </row>
    <row r="73" spans="1:7">
      <c r="A73" s="90" t="s">
        <v>6349</v>
      </c>
      <c r="B73" s="90" t="s">
        <v>6342</v>
      </c>
      <c r="C73" s="90">
        <v>5</v>
      </c>
      <c r="D73" s="90">
        <v>2</v>
      </c>
      <c r="E73" s="224"/>
      <c r="F73" s="224" t="s">
        <v>6318</v>
      </c>
      <c r="G73" s="79"/>
    </row>
    <row r="74" spans="1:7">
      <c r="A74" s="90" t="s">
        <v>75</v>
      </c>
      <c r="B74" s="90" t="s">
        <v>6257</v>
      </c>
      <c r="C74" s="90">
        <v>2</v>
      </c>
      <c r="D74" s="90"/>
      <c r="E74" s="224"/>
      <c r="F74" s="224" t="s">
        <v>6318</v>
      </c>
      <c r="G74" s="79"/>
    </row>
    <row r="75" spans="1:7">
      <c r="A75" s="90" t="s">
        <v>6348</v>
      </c>
      <c r="B75" s="90" t="s">
        <v>6319</v>
      </c>
      <c r="C75" s="90">
        <v>64</v>
      </c>
      <c r="D75" s="90"/>
      <c r="E75" s="224" t="s">
        <v>6347</v>
      </c>
      <c r="F75" s="224" t="s">
        <v>6318</v>
      </c>
      <c r="G75" s="79"/>
    </row>
    <row r="76" spans="1:7">
      <c r="A76" s="90" t="s">
        <v>6346</v>
      </c>
      <c r="B76" s="90" t="s">
        <v>6319</v>
      </c>
      <c r="C76" s="90">
        <v>64</v>
      </c>
      <c r="D76" s="90"/>
      <c r="E76" s="224"/>
      <c r="F76" s="224" t="s">
        <v>6318</v>
      </c>
      <c r="G76" s="79"/>
    </row>
    <row r="77" spans="1:7">
      <c r="A77" s="90" t="s">
        <v>1619</v>
      </c>
      <c r="B77" s="90" t="s">
        <v>6319</v>
      </c>
      <c r="C77" s="90">
        <v>2</v>
      </c>
      <c r="D77" s="90"/>
      <c r="E77" s="224"/>
      <c r="F77" s="224" t="s">
        <v>6318</v>
      </c>
      <c r="G77" s="79"/>
    </row>
    <row r="78" spans="1:7">
      <c r="A78" s="90" t="s">
        <v>578</v>
      </c>
      <c r="B78" s="90" t="s">
        <v>6319</v>
      </c>
      <c r="C78" s="90">
        <v>120</v>
      </c>
      <c r="D78" s="90"/>
      <c r="E78" s="224"/>
      <c r="F78" s="224" t="s">
        <v>6318</v>
      </c>
      <c r="G78" s="79"/>
    </row>
    <row r="79" spans="1:7">
      <c r="A79" s="90" t="s">
        <v>2603</v>
      </c>
      <c r="B79" s="90" t="s">
        <v>6319</v>
      </c>
      <c r="C79" s="90">
        <v>120</v>
      </c>
      <c r="D79" s="90"/>
      <c r="E79" s="224"/>
      <c r="F79" s="224" t="s">
        <v>6318</v>
      </c>
      <c r="G79" s="79"/>
    </row>
    <row r="80" spans="1:7">
      <c r="A80" s="90" t="s">
        <v>6345</v>
      </c>
      <c r="B80" s="90" t="s">
        <v>6342</v>
      </c>
      <c r="C80" s="90">
        <v>3</v>
      </c>
      <c r="D80" s="90"/>
      <c r="E80" s="224"/>
      <c r="F80" s="224" t="s">
        <v>6318</v>
      </c>
      <c r="G80" s="79"/>
    </row>
    <row r="81" spans="1:7">
      <c r="A81" s="90" t="s">
        <v>6344</v>
      </c>
      <c r="B81" s="90" t="s">
        <v>6319</v>
      </c>
      <c r="C81" s="90">
        <v>17</v>
      </c>
      <c r="D81" s="90"/>
      <c r="E81" s="224" t="s">
        <v>6343</v>
      </c>
      <c r="F81" s="224" t="s">
        <v>6318</v>
      </c>
      <c r="G81" s="79"/>
    </row>
    <row r="82" spans="1:7">
      <c r="A82" s="90" t="s">
        <v>2441</v>
      </c>
      <c r="B82" s="90" t="s">
        <v>6342</v>
      </c>
      <c r="C82" s="90">
        <v>5</v>
      </c>
      <c r="D82" s="90">
        <v>2</v>
      </c>
      <c r="E82" s="224"/>
      <c r="F82" s="224" t="s">
        <v>6318</v>
      </c>
      <c r="G82" s="79"/>
    </row>
    <row r="83" spans="1:7">
      <c r="A83" s="90" t="s">
        <v>6341</v>
      </c>
      <c r="B83" s="90" t="s">
        <v>6319</v>
      </c>
      <c r="C83" s="90">
        <v>1</v>
      </c>
      <c r="D83" s="90"/>
      <c r="E83" s="224"/>
      <c r="F83" s="224" t="s">
        <v>6318</v>
      </c>
      <c r="G83" s="79"/>
    </row>
    <row r="84" spans="1:7">
      <c r="A84" s="90" t="s">
        <v>6340</v>
      </c>
      <c r="B84" s="90" t="s">
        <v>6319</v>
      </c>
      <c r="C84" s="90">
        <v>2</v>
      </c>
      <c r="D84" s="90"/>
      <c r="E84" s="224"/>
      <c r="F84" s="224" t="s">
        <v>6318</v>
      </c>
      <c r="G84" s="79"/>
    </row>
    <row r="85" spans="1:7">
      <c r="A85" s="90" t="s">
        <v>6339</v>
      </c>
      <c r="B85" s="90" t="s">
        <v>6319</v>
      </c>
      <c r="C85" s="90">
        <v>10</v>
      </c>
      <c r="D85" s="90"/>
      <c r="E85" s="224"/>
      <c r="F85" s="224" t="s">
        <v>6318</v>
      </c>
      <c r="G85" s="79"/>
    </row>
    <row r="86" spans="1:7">
      <c r="A86" s="90" t="s">
        <v>6338</v>
      </c>
      <c r="B86" s="90" t="s">
        <v>6319</v>
      </c>
      <c r="C86" s="90">
        <v>256</v>
      </c>
      <c r="D86" s="90"/>
      <c r="E86" s="224"/>
      <c r="F86" s="224" t="s">
        <v>6318</v>
      </c>
      <c r="G86" s="79"/>
    </row>
    <row r="87" spans="1:7">
      <c r="A87" s="90" t="s">
        <v>2130</v>
      </c>
      <c r="B87" s="90" t="s">
        <v>6319</v>
      </c>
      <c r="C87" s="90">
        <v>10</v>
      </c>
      <c r="D87" s="90"/>
      <c r="E87" s="224"/>
      <c r="F87" s="224" t="s">
        <v>6318</v>
      </c>
      <c r="G87" s="79"/>
    </row>
    <row r="88" spans="1:7">
      <c r="A88" s="90" t="s">
        <v>2128</v>
      </c>
      <c r="B88" s="90" t="s">
        <v>6319</v>
      </c>
      <c r="C88" s="90">
        <v>10</v>
      </c>
      <c r="D88" s="90"/>
      <c r="E88" s="224"/>
      <c r="F88" s="224" t="s">
        <v>6318</v>
      </c>
      <c r="G88" s="79"/>
    </row>
    <row r="89" spans="1:7">
      <c r="A89" s="90" t="s">
        <v>2119</v>
      </c>
      <c r="B89" s="90" t="s">
        <v>6319</v>
      </c>
      <c r="C89" s="90">
        <v>23</v>
      </c>
      <c r="D89" s="90"/>
      <c r="E89" s="224" t="s">
        <v>6337</v>
      </c>
      <c r="F89" s="224" t="s">
        <v>6318</v>
      </c>
      <c r="G89" s="79"/>
    </row>
    <row r="90" spans="1:7">
      <c r="A90" s="90" t="s">
        <v>6336</v>
      </c>
      <c r="B90" s="90" t="s">
        <v>6319</v>
      </c>
      <c r="C90" s="90">
        <v>12</v>
      </c>
      <c r="D90" s="90"/>
      <c r="E90" s="224"/>
      <c r="F90" s="224" t="s">
        <v>6318</v>
      </c>
      <c r="G90" s="79"/>
    </row>
    <row r="91" spans="1:7">
      <c r="A91" s="90" t="s">
        <v>6335</v>
      </c>
      <c r="B91" s="90" t="s">
        <v>6319</v>
      </c>
      <c r="C91" s="90">
        <v>2</v>
      </c>
      <c r="D91" s="90"/>
      <c r="E91" s="224"/>
      <c r="F91" s="224" t="s">
        <v>6318</v>
      </c>
      <c r="G91" s="79"/>
    </row>
    <row r="92" spans="1:7">
      <c r="A92" s="90" t="s">
        <v>6334</v>
      </c>
      <c r="B92" s="90" t="s">
        <v>6319</v>
      </c>
      <c r="C92" s="90">
        <v>2</v>
      </c>
      <c r="D92" s="90"/>
      <c r="E92" s="224"/>
      <c r="F92" s="224" t="s">
        <v>6318</v>
      </c>
      <c r="G92" s="79"/>
    </row>
    <row r="93" spans="1:7">
      <c r="A93" s="90" t="s">
        <v>1784</v>
      </c>
      <c r="B93" s="90" t="s">
        <v>6319</v>
      </c>
      <c r="C93" s="90">
        <v>160</v>
      </c>
      <c r="D93" s="90"/>
      <c r="E93" s="224" t="s">
        <v>6333</v>
      </c>
      <c r="F93" s="224" t="s">
        <v>6318</v>
      </c>
      <c r="G93" s="79"/>
    </row>
    <row r="94" spans="1:7">
      <c r="A94" s="90" t="s">
        <v>1779</v>
      </c>
      <c r="B94" s="90" t="s">
        <v>6319</v>
      </c>
      <c r="C94" s="90">
        <v>4</v>
      </c>
      <c r="D94" s="90"/>
      <c r="E94" s="224"/>
      <c r="F94" s="224" t="s">
        <v>6318</v>
      </c>
      <c r="G94" s="79"/>
    </row>
    <row r="95" spans="1:7">
      <c r="A95" s="90" t="s">
        <v>1559</v>
      </c>
      <c r="B95" s="90" t="s">
        <v>6319</v>
      </c>
      <c r="C95" s="90">
        <v>16</v>
      </c>
      <c r="D95" s="90"/>
      <c r="E95" s="224"/>
      <c r="F95" s="224" t="s">
        <v>6318</v>
      </c>
      <c r="G95" s="79"/>
    </row>
    <row r="96" spans="1:7">
      <c r="A96" s="90" t="s">
        <v>1766</v>
      </c>
      <c r="B96" s="90" t="s">
        <v>6319</v>
      </c>
      <c r="C96" s="90">
        <v>10</v>
      </c>
      <c r="D96" s="90"/>
      <c r="E96" s="224"/>
      <c r="F96" s="224" t="s">
        <v>6318</v>
      </c>
      <c r="G96" s="79"/>
    </row>
    <row r="97" spans="1:7">
      <c r="A97" s="90" t="s">
        <v>6332</v>
      </c>
      <c r="B97" s="90" t="s">
        <v>6319</v>
      </c>
      <c r="C97" s="90">
        <v>50</v>
      </c>
      <c r="D97" s="90"/>
      <c r="E97" s="224"/>
      <c r="F97" s="224" t="s">
        <v>6318</v>
      </c>
      <c r="G97" s="79"/>
    </row>
    <row r="98" spans="1:7">
      <c r="A98" s="90" t="s">
        <v>6331</v>
      </c>
      <c r="B98" s="90" t="s">
        <v>6319</v>
      </c>
      <c r="C98" s="90">
        <v>1</v>
      </c>
      <c r="D98" s="90"/>
      <c r="E98" s="224"/>
      <c r="F98" s="224" t="s">
        <v>6318</v>
      </c>
      <c r="G98" s="79"/>
    </row>
    <row r="99" spans="1:7">
      <c r="A99" s="90" t="s">
        <v>6330</v>
      </c>
      <c r="B99" s="90" t="s">
        <v>6329</v>
      </c>
      <c r="C99" s="90">
        <v>4</v>
      </c>
      <c r="D99" s="90"/>
      <c r="E99" s="224"/>
      <c r="F99" s="224" t="s">
        <v>6318</v>
      </c>
      <c r="G99" s="79"/>
    </row>
    <row r="100" spans="1:7">
      <c r="A100" s="90" t="s">
        <v>6328</v>
      </c>
      <c r="B100" s="90" t="s">
        <v>6319</v>
      </c>
      <c r="C100" s="90">
        <v>3</v>
      </c>
      <c r="D100" s="90"/>
      <c r="E100" s="224"/>
      <c r="F100" s="224" t="s">
        <v>6318</v>
      </c>
      <c r="G100" s="79"/>
    </row>
    <row r="101" spans="1:7">
      <c r="A101" s="90" t="s">
        <v>1883</v>
      </c>
      <c r="B101" s="90" t="s">
        <v>6319</v>
      </c>
      <c r="C101" s="90">
        <v>8</v>
      </c>
      <c r="D101" s="90"/>
      <c r="E101" s="224"/>
      <c r="F101" s="224" t="s">
        <v>6318</v>
      </c>
      <c r="G101" s="79"/>
    </row>
    <row r="102" spans="1:7">
      <c r="A102" s="90" t="s">
        <v>1882</v>
      </c>
      <c r="B102" s="90" t="s">
        <v>6319</v>
      </c>
      <c r="C102" s="90">
        <v>5</v>
      </c>
      <c r="D102" s="90"/>
      <c r="E102" s="224"/>
      <c r="F102" s="224" t="s">
        <v>6318</v>
      </c>
      <c r="G102" s="79"/>
    </row>
    <row r="103" spans="1:7">
      <c r="A103" s="90" t="s">
        <v>1876</v>
      </c>
      <c r="B103" s="90" t="s">
        <v>6319</v>
      </c>
      <c r="C103" s="90">
        <v>3</v>
      </c>
      <c r="D103" s="90"/>
      <c r="E103" s="224"/>
      <c r="F103" s="224" t="s">
        <v>6318</v>
      </c>
      <c r="G103" s="79"/>
    </row>
    <row r="104" spans="1:7">
      <c r="A104" s="90" t="s">
        <v>2469</v>
      </c>
      <c r="B104" s="90" t="s">
        <v>6319</v>
      </c>
      <c r="C104" s="90">
        <v>3</v>
      </c>
      <c r="D104" s="90"/>
      <c r="E104" s="224"/>
      <c r="F104" s="224" t="s">
        <v>6318</v>
      </c>
      <c r="G104" s="79"/>
    </row>
    <row r="105" spans="1:7">
      <c r="A105" s="90" t="s">
        <v>1874</v>
      </c>
      <c r="B105" s="90" t="s">
        <v>6319</v>
      </c>
      <c r="C105" s="90">
        <v>11</v>
      </c>
      <c r="D105" s="90"/>
      <c r="E105" s="224"/>
      <c r="F105" s="224" t="s">
        <v>6318</v>
      </c>
      <c r="G105" s="79"/>
    </row>
    <row r="106" spans="1:7">
      <c r="A106" s="90" t="s">
        <v>6327</v>
      </c>
      <c r="B106" s="90" t="s">
        <v>6319</v>
      </c>
      <c r="C106" s="90">
        <v>12</v>
      </c>
      <c r="D106" s="90"/>
      <c r="E106" s="224"/>
      <c r="F106" s="224" t="s">
        <v>6318</v>
      </c>
      <c r="G106" s="79"/>
    </row>
    <row r="107" spans="1:7">
      <c r="A107" s="90" t="s">
        <v>6326</v>
      </c>
      <c r="B107" s="90" t="s">
        <v>6319</v>
      </c>
      <c r="C107" s="90">
        <v>20</v>
      </c>
      <c r="D107" s="90"/>
      <c r="E107" s="224"/>
      <c r="F107" s="224" t="s">
        <v>6318</v>
      </c>
      <c r="G107" s="79"/>
    </row>
    <row r="108" spans="1:7">
      <c r="A108" s="90" t="s">
        <v>1862</v>
      </c>
      <c r="B108" s="90" t="s">
        <v>6319</v>
      </c>
      <c r="C108" s="90">
        <v>3</v>
      </c>
      <c r="D108" s="90"/>
      <c r="E108" s="224"/>
      <c r="F108" s="224" t="s">
        <v>6318</v>
      </c>
      <c r="G108" s="79"/>
    </row>
    <row r="109" spans="1:7">
      <c r="A109" s="90" t="s">
        <v>3993</v>
      </c>
      <c r="B109" s="90" t="s">
        <v>6319</v>
      </c>
      <c r="C109" s="90">
        <v>9</v>
      </c>
      <c r="D109" s="90"/>
      <c r="E109" s="224"/>
      <c r="F109" s="224" t="s">
        <v>6318</v>
      </c>
      <c r="G109" s="79"/>
    </row>
    <row r="110" spans="1:7">
      <c r="A110" s="90" t="s">
        <v>6325</v>
      </c>
      <c r="B110" s="90" t="s">
        <v>6319</v>
      </c>
      <c r="C110" s="90">
        <v>40</v>
      </c>
      <c r="D110" s="90"/>
      <c r="E110" s="224"/>
      <c r="F110" s="224" t="s">
        <v>6318</v>
      </c>
      <c r="G110" s="79"/>
    </row>
    <row r="111" spans="1:7">
      <c r="A111" s="90" t="s">
        <v>6324</v>
      </c>
      <c r="B111" s="90" t="s">
        <v>6319</v>
      </c>
      <c r="C111" s="90">
        <v>2</v>
      </c>
      <c r="D111" s="90"/>
      <c r="E111" s="224"/>
      <c r="F111" s="224" t="s">
        <v>6318</v>
      </c>
      <c r="G111" s="79"/>
    </row>
    <row r="112" spans="1:7">
      <c r="A112" s="90" t="s">
        <v>6323</v>
      </c>
      <c r="B112" s="90" t="s">
        <v>6319</v>
      </c>
      <c r="C112" s="90">
        <v>42</v>
      </c>
      <c r="D112" s="90"/>
      <c r="E112" s="224"/>
      <c r="F112" s="224" t="s">
        <v>6318</v>
      </c>
      <c r="G112" s="79"/>
    </row>
    <row r="113" spans="1:7">
      <c r="A113" s="90" t="s">
        <v>2093</v>
      </c>
      <c r="B113" s="90" t="s">
        <v>6319</v>
      </c>
      <c r="C113" s="90">
        <v>42</v>
      </c>
      <c r="D113" s="90"/>
      <c r="E113" s="224"/>
      <c r="F113" s="224" t="s">
        <v>6318</v>
      </c>
      <c r="G113" s="79"/>
    </row>
    <row r="114" spans="1:7">
      <c r="A114" s="90" t="s">
        <v>4389</v>
      </c>
      <c r="B114" s="90" t="s">
        <v>6319</v>
      </c>
      <c r="C114" s="90">
        <v>100</v>
      </c>
      <c r="D114" s="90"/>
      <c r="E114" s="224"/>
      <c r="F114" s="224" t="s">
        <v>6318</v>
      </c>
      <c r="G114" s="79"/>
    </row>
    <row r="115" spans="1:7">
      <c r="A115" s="90" t="s">
        <v>3688</v>
      </c>
      <c r="B115" s="90" t="s">
        <v>6319</v>
      </c>
      <c r="C115" s="90">
        <v>5</v>
      </c>
      <c r="D115" s="90"/>
      <c r="E115" s="224"/>
      <c r="F115" s="224" t="s">
        <v>6318</v>
      </c>
      <c r="G115" s="79"/>
    </row>
    <row r="116" spans="1:7">
      <c r="A116" s="90" t="s">
        <v>6322</v>
      </c>
      <c r="B116" s="90" t="s">
        <v>6319</v>
      </c>
      <c r="C116" s="90">
        <v>40</v>
      </c>
      <c r="D116" s="90"/>
      <c r="E116" s="224"/>
      <c r="F116" s="224" t="s">
        <v>6318</v>
      </c>
      <c r="G116" s="79"/>
    </row>
    <row r="117" spans="1:7">
      <c r="A117" s="90" t="s">
        <v>3140</v>
      </c>
      <c r="B117" s="90" t="s">
        <v>6319</v>
      </c>
      <c r="C117" s="90">
        <v>20</v>
      </c>
      <c r="D117" s="90"/>
      <c r="E117" s="224"/>
      <c r="F117" s="224" t="s">
        <v>6318</v>
      </c>
      <c r="G117" s="79"/>
    </row>
    <row r="118" spans="1:7">
      <c r="A118" s="90" t="s">
        <v>6321</v>
      </c>
      <c r="B118" s="90" t="s">
        <v>6319</v>
      </c>
      <c r="C118" s="90">
        <v>40</v>
      </c>
      <c r="D118" s="90"/>
      <c r="E118" s="224"/>
      <c r="F118" s="224" t="s">
        <v>6318</v>
      </c>
      <c r="G118" s="79"/>
    </row>
    <row r="119" spans="1:7">
      <c r="A119" s="90" t="s">
        <v>6320</v>
      </c>
      <c r="B119" s="90" t="s">
        <v>6319</v>
      </c>
      <c r="C119" s="90">
        <v>256</v>
      </c>
      <c r="D119" s="90"/>
      <c r="E119" s="224"/>
      <c r="F119" s="224" t="s">
        <v>6318</v>
      </c>
      <c r="G119" s="79"/>
    </row>
    <row r="120" spans="1:7">
      <c r="A120" s="90" t="s">
        <v>6470</v>
      </c>
      <c r="B120" s="90" t="s">
        <v>6319</v>
      </c>
      <c r="C120" s="90">
        <v>5</v>
      </c>
      <c r="D120" s="90"/>
      <c r="E120" s="224"/>
      <c r="F120" s="224" t="s">
        <v>6318</v>
      </c>
      <c r="G120" s="79"/>
    </row>
    <row r="121" spans="1:7">
      <c r="A121" s="90" t="s">
        <v>6472</v>
      </c>
      <c r="B121" s="90" t="s">
        <v>6319</v>
      </c>
      <c r="C121" s="90">
        <v>15</v>
      </c>
      <c r="D121" s="90"/>
      <c r="E121" s="224"/>
      <c r="F121" s="224" t="s">
        <v>6318</v>
      </c>
      <c r="G121" s="79"/>
    </row>
    <row r="122" spans="1:7">
      <c r="A122" s="90" t="s">
        <v>6317</v>
      </c>
      <c r="B122" s="90" t="s">
        <v>6316</v>
      </c>
      <c r="C122" s="90">
        <v>4</v>
      </c>
      <c r="D122" s="90"/>
      <c r="E122" s="224"/>
      <c r="F122" s="224" t="s">
        <v>1788</v>
      </c>
      <c r="G122" s="79"/>
    </row>
    <row r="123" spans="1:7">
      <c r="A123" s="90" t="s">
        <v>3925</v>
      </c>
      <c r="B123" s="90" t="s">
        <v>6299</v>
      </c>
      <c r="C123" s="90">
        <v>2</v>
      </c>
      <c r="D123" s="90"/>
      <c r="E123" s="224"/>
      <c r="F123" s="224" t="s">
        <v>379</v>
      </c>
      <c r="G123" s="79"/>
    </row>
    <row r="124" spans="1:7">
      <c r="A124" s="90" t="s">
        <v>3922</v>
      </c>
      <c r="B124" s="90" t="s">
        <v>6299</v>
      </c>
      <c r="C124" s="90">
        <v>2</v>
      </c>
      <c r="D124" s="90"/>
      <c r="E124" s="224"/>
      <c r="F124" s="224" t="s">
        <v>379</v>
      </c>
      <c r="G124" s="79"/>
    </row>
    <row r="125" spans="1:7">
      <c r="A125" s="90" t="s">
        <v>6315</v>
      </c>
      <c r="B125" s="90" t="s">
        <v>6299</v>
      </c>
      <c r="C125" s="90">
        <v>50</v>
      </c>
      <c r="D125" s="90"/>
      <c r="E125" s="224"/>
      <c r="F125" s="224" t="s">
        <v>379</v>
      </c>
      <c r="G125" s="79"/>
    </row>
    <row r="126" spans="1:7">
      <c r="A126" s="90" t="s">
        <v>3008</v>
      </c>
      <c r="B126" s="90" t="s">
        <v>6299</v>
      </c>
      <c r="C126" s="90">
        <v>70</v>
      </c>
      <c r="D126" s="90"/>
      <c r="E126" s="224"/>
      <c r="F126" s="224" t="s">
        <v>379</v>
      </c>
      <c r="G126" s="79"/>
    </row>
    <row r="127" spans="1:7">
      <c r="A127" s="90" t="s">
        <v>6468</v>
      </c>
      <c r="B127" s="90" t="s">
        <v>6299</v>
      </c>
      <c r="C127" s="90">
        <v>13</v>
      </c>
      <c r="D127" s="90"/>
      <c r="E127" s="224"/>
      <c r="F127" s="224" t="s">
        <v>379</v>
      </c>
      <c r="G127" s="79"/>
    </row>
    <row r="128" spans="1:7">
      <c r="A128" s="90" t="s">
        <v>6314</v>
      </c>
      <c r="B128" s="90" t="s">
        <v>6299</v>
      </c>
      <c r="C128" s="90">
        <v>2</v>
      </c>
      <c r="D128" s="90"/>
      <c r="E128" s="224"/>
      <c r="F128" s="224" t="s">
        <v>379</v>
      </c>
      <c r="G128" s="79"/>
    </row>
    <row r="129" spans="1:7">
      <c r="A129" s="90" t="s">
        <v>6313</v>
      </c>
      <c r="B129" s="90" t="s">
        <v>6303</v>
      </c>
      <c r="C129" s="90">
        <v>23</v>
      </c>
      <c r="D129" s="90"/>
      <c r="E129" s="224"/>
      <c r="F129" s="224" t="s">
        <v>379</v>
      </c>
      <c r="G129" s="79"/>
    </row>
    <row r="130" spans="1:7">
      <c r="A130" s="90" t="s">
        <v>1946</v>
      </c>
      <c r="B130" s="90" t="s">
        <v>6303</v>
      </c>
      <c r="C130" s="90">
        <v>5</v>
      </c>
      <c r="D130" s="90"/>
      <c r="E130" s="224"/>
      <c r="F130" s="224" t="s">
        <v>379</v>
      </c>
      <c r="G130" s="79"/>
    </row>
    <row r="131" spans="1:7">
      <c r="A131" s="90" t="s">
        <v>6312</v>
      </c>
      <c r="B131" s="90" t="s">
        <v>6303</v>
      </c>
      <c r="C131" s="90">
        <v>4</v>
      </c>
      <c r="D131" s="90"/>
      <c r="E131" s="224"/>
      <c r="F131" s="224" t="s">
        <v>379</v>
      </c>
      <c r="G131" s="79"/>
    </row>
    <row r="132" spans="1:7">
      <c r="A132" s="90" t="s">
        <v>6311</v>
      </c>
      <c r="B132" s="90" t="s">
        <v>6303</v>
      </c>
      <c r="C132" s="90">
        <v>2</v>
      </c>
      <c r="D132" s="90"/>
      <c r="E132" s="224"/>
      <c r="F132" s="224" t="s">
        <v>379</v>
      </c>
      <c r="G132" s="79"/>
    </row>
    <row r="133" spans="1:7">
      <c r="A133" s="90" t="s">
        <v>2002</v>
      </c>
      <c r="B133" s="90" t="s">
        <v>6299</v>
      </c>
      <c r="C133" s="90">
        <v>64</v>
      </c>
      <c r="D133" s="90"/>
      <c r="E133" s="224" t="s">
        <v>6310</v>
      </c>
      <c r="F133" s="224" t="s">
        <v>379</v>
      </c>
      <c r="G133" s="79"/>
    </row>
    <row r="134" spans="1:7">
      <c r="A134" s="90" t="s">
        <v>1835</v>
      </c>
      <c r="B134" s="90" t="s">
        <v>6299</v>
      </c>
      <c r="C134" s="90">
        <v>22</v>
      </c>
      <c r="D134" s="90"/>
      <c r="E134" s="224" t="s">
        <v>6309</v>
      </c>
      <c r="F134" s="224" t="s">
        <v>379</v>
      </c>
      <c r="G134" s="79"/>
    </row>
    <row r="135" spans="1:7">
      <c r="A135" s="90" t="s">
        <v>1832</v>
      </c>
      <c r="B135" s="90" t="s">
        <v>6303</v>
      </c>
      <c r="C135" s="90">
        <v>2</v>
      </c>
      <c r="D135" s="90"/>
      <c r="E135" s="224"/>
      <c r="F135" s="224" t="s">
        <v>379</v>
      </c>
      <c r="G135" s="79"/>
    </row>
    <row r="136" spans="1:7">
      <c r="A136" s="90" t="s">
        <v>6308</v>
      </c>
      <c r="B136" s="90" t="s">
        <v>6303</v>
      </c>
      <c r="C136" s="90">
        <v>3</v>
      </c>
      <c r="D136" s="90"/>
      <c r="E136" s="224"/>
      <c r="F136" s="224" t="s">
        <v>379</v>
      </c>
      <c r="G136" s="79"/>
    </row>
    <row r="137" spans="1:7">
      <c r="A137" s="90" t="s">
        <v>6307</v>
      </c>
      <c r="B137" s="90" t="s">
        <v>6299</v>
      </c>
      <c r="C137" s="90">
        <v>5</v>
      </c>
      <c r="D137" s="90"/>
      <c r="E137" s="224"/>
      <c r="F137" s="224" t="s">
        <v>379</v>
      </c>
      <c r="G137" s="79"/>
    </row>
    <row r="138" spans="1:7">
      <c r="A138" s="90" t="s">
        <v>6306</v>
      </c>
      <c r="B138" s="90" t="s">
        <v>6299</v>
      </c>
      <c r="C138" s="90">
        <v>2</v>
      </c>
      <c r="D138" s="90"/>
      <c r="E138" s="224"/>
      <c r="F138" s="224" t="s">
        <v>379</v>
      </c>
      <c r="G138" s="79"/>
    </row>
    <row r="139" spans="1:7">
      <c r="A139" s="90" t="s">
        <v>1949</v>
      </c>
      <c r="B139" s="90" t="s">
        <v>6299</v>
      </c>
      <c r="C139" s="90">
        <v>7</v>
      </c>
      <c r="D139" s="90"/>
      <c r="E139" s="224"/>
      <c r="F139" s="224" t="s">
        <v>379</v>
      </c>
      <c r="G139" s="79"/>
    </row>
    <row r="140" spans="1:7">
      <c r="A140" s="90" t="s">
        <v>1939</v>
      </c>
      <c r="B140" s="90" t="s">
        <v>6299</v>
      </c>
      <c r="C140" s="90">
        <v>7</v>
      </c>
      <c r="D140" s="90"/>
      <c r="E140" s="224"/>
      <c r="F140" s="224" t="s">
        <v>379</v>
      </c>
      <c r="G140" s="79"/>
    </row>
    <row r="141" spans="1:7">
      <c r="A141" s="90" t="s">
        <v>6305</v>
      </c>
      <c r="B141" s="90" t="s">
        <v>6303</v>
      </c>
      <c r="C141" s="90">
        <v>8</v>
      </c>
      <c r="D141" s="90"/>
      <c r="E141" s="224"/>
      <c r="F141" s="224" t="s">
        <v>379</v>
      </c>
      <c r="G141" s="79"/>
    </row>
    <row r="142" spans="1:7">
      <c r="A142" s="90" t="s">
        <v>2465</v>
      </c>
      <c r="B142" s="90" t="s">
        <v>6303</v>
      </c>
      <c r="C142" s="90">
        <v>5</v>
      </c>
      <c r="D142" s="90">
        <v>2</v>
      </c>
      <c r="E142" s="224"/>
      <c r="F142" s="224" t="s">
        <v>379</v>
      </c>
      <c r="G142" s="79"/>
    </row>
    <row r="143" spans="1:7">
      <c r="A143" s="90" t="s">
        <v>1281</v>
      </c>
      <c r="B143" s="90" t="s">
        <v>6299</v>
      </c>
      <c r="C143" s="90">
        <v>3</v>
      </c>
      <c r="D143" s="90"/>
      <c r="E143" s="224"/>
      <c r="F143" s="224" t="s">
        <v>379</v>
      </c>
      <c r="G143" s="79"/>
    </row>
    <row r="144" spans="1:7">
      <c r="A144" s="90" t="s">
        <v>6304</v>
      </c>
      <c r="B144" s="90" t="s">
        <v>6299</v>
      </c>
      <c r="C144" s="90">
        <v>64</v>
      </c>
      <c r="D144" s="90"/>
      <c r="E144" s="224"/>
      <c r="F144" s="224" t="s">
        <v>379</v>
      </c>
      <c r="G144" s="79"/>
    </row>
    <row r="145" spans="1:7">
      <c r="A145" s="90" t="s">
        <v>1839</v>
      </c>
      <c r="B145" s="90" t="s">
        <v>6299</v>
      </c>
      <c r="C145" s="90">
        <v>5</v>
      </c>
      <c r="D145" s="90"/>
      <c r="E145" s="224"/>
      <c r="F145" s="224" t="s">
        <v>379</v>
      </c>
      <c r="G145" s="79"/>
    </row>
    <row r="146" spans="1:7">
      <c r="A146" s="90" t="s">
        <v>1529</v>
      </c>
      <c r="B146" s="90" t="s">
        <v>6303</v>
      </c>
      <c r="C146" s="90">
        <v>6</v>
      </c>
      <c r="D146" s="90"/>
      <c r="E146" s="224"/>
      <c r="F146" s="224" t="s">
        <v>379</v>
      </c>
      <c r="G146" s="79"/>
    </row>
    <row r="147" spans="1:7">
      <c r="A147" s="90" t="s">
        <v>2103</v>
      </c>
      <c r="B147" s="90" t="s">
        <v>6299</v>
      </c>
      <c r="C147" s="90">
        <v>8</v>
      </c>
      <c r="D147" s="90"/>
      <c r="E147" s="224"/>
      <c r="F147" s="224" t="s">
        <v>379</v>
      </c>
      <c r="G147" s="79"/>
    </row>
    <row r="148" spans="1:7">
      <c r="A148" s="90" t="s">
        <v>1984</v>
      </c>
      <c r="B148" s="90" t="s">
        <v>6299</v>
      </c>
      <c r="C148" s="90">
        <v>182</v>
      </c>
      <c r="D148" s="90"/>
      <c r="E148" s="224"/>
      <c r="F148" s="224" t="s">
        <v>379</v>
      </c>
      <c r="G148" s="79"/>
    </row>
    <row r="149" spans="1:7">
      <c r="A149" s="90" t="s">
        <v>1517</v>
      </c>
      <c r="B149" s="90" t="s">
        <v>6299</v>
      </c>
      <c r="C149" s="90">
        <v>196</v>
      </c>
      <c r="D149" s="90"/>
      <c r="E149" s="224"/>
      <c r="F149" s="224" t="s">
        <v>379</v>
      </c>
      <c r="G149" s="79"/>
    </row>
    <row r="150" spans="1:7">
      <c r="A150" s="90" t="s">
        <v>6302</v>
      </c>
      <c r="B150" s="90" t="s">
        <v>6299</v>
      </c>
      <c r="C150" s="90">
        <v>108</v>
      </c>
      <c r="D150" s="90"/>
      <c r="E150" s="224"/>
      <c r="F150" s="224" t="s">
        <v>379</v>
      </c>
      <c r="G150" s="79"/>
    </row>
    <row r="151" spans="1:7">
      <c r="A151" s="90" t="s">
        <v>6301</v>
      </c>
      <c r="B151" s="90" t="s">
        <v>6299</v>
      </c>
      <c r="C151" s="90">
        <v>15</v>
      </c>
      <c r="D151" s="90"/>
      <c r="E151" s="224"/>
      <c r="F151" s="224" t="s">
        <v>379</v>
      </c>
      <c r="G151" s="79"/>
    </row>
    <row r="152" spans="1:7">
      <c r="A152" s="90" t="s">
        <v>6300</v>
      </c>
      <c r="B152" s="90" t="s">
        <v>6299</v>
      </c>
      <c r="C152" s="90">
        <v>210</v>
      </c>
      <c r="D152" s="90"/>
      <c r="E152" s="224"/>
      <c r="F152" s="224" t="s">
        <v>379</v>
      </c>
      <c r="G152" s="79"/>
    </row>
    <row r="153" spans="1:7">
      <c r="A153" s="90" t="s">
        <v>557</v>
      </c>
      <c r="B153" s="90" t="s">
        <v>6295</v>
      </c>
      <c r="C153" s="90">
        <v>262</v>
      </c>
      <c r="D153" s="90"/>
      <c r="E153" s="224"/>
      <c r="F153" s="224" t="s">
        <v>231</v>
      </c>
      <c r="G153" s="79"/>
    </row>
    <row r="154" spans="1:7">
      <c r="A154" s="90" t="s">
        <v>6298</v>
      </c>
      <c r="B154" s="90" t="s">
        <v>6295</v>
      </c>
      <c r="C154" s="90">
        <v>1080</v>
      </c>
      <c r="D154" s="90"/>
      <c r="E154" s="224"/>
      <c r="F154" s="224" t="s">
        <v>231</v>
      </c>
      <c r="G154" s="79"/>
    </row>
    <row r="155" spans="1:7">
      <c r="A155" s="90" t="s">
        <v>6297</v>
      </c>
      <c r="B155" s="90" t="s">
        <v>6295</v>
      </c>
      <c r="C155" s="90">
        <v>450</v>
      </c>
      <c r="D155" s="90"/>
      <c r="E155" s="224"/>
      <c r="F155" s="224" t="s">
        <v>231</v>
      </c>
      <c r="G155" s="79"/>
    </row>
    <row r="156" spans="1:7">
      <c r="A156" s="90" t="s">
        <v>6296</v>
      </c>
      <c r="B156" s="90" t="s">
        <v>6295</v>
      </c>
      <c r="C156" s="90">
        <v>150</v>
      </c>
      <c r="D156" s="90"/>
      <c r="E156" s="224"/>
      <c r="F156" s="224" t="s">
        <v>231</v>
      </c>
      <c r="G156" s="79"/>
    </row>
    <row r="157" spans="1:7">
      <c r="A157" s="90" t="s">
        <v>1427</v>
      </c>
      <c r="B157" s="90" t="s">
        <v>6257</v>
      </c>
      <c r="C157" s="90">
        <v>8</v>
      </c>
      <c r="D157" s="90"/>
      <c r="E157" s="224"/>
      <c r="F157" s="224" t="s">
        <v>231</v>
      </c>
      <c r="G157" s="79"/>
    </row>
    <row r="158" spans="1:7">
      <c r="A158" s="90" t="s">
        <v>1410</v>
      </c>
      <c r="B158" s="90" t="s">
        <v>6257</v>
      </c>
      <c r="C158" s="90">
        <v>1</v>
      </c>
      <c r="D158" s="90"/>
      <c r="E158" s="224"/>
      <c r="F158" s="224" t="s">
        <v>231</v>
      </c>
      <c r="G158" s="79"/>
    </row>
    <row r="159" spans="1:7">
      <c r="A159" s="90" t="s">
        <v>6294</v>
      </c>
      <c r="B159" s="90" t="s">
        <v>6257</v>
      </c>
      <c r="C159" s="90">
        <v>36</v>
      </c>
      <c r="D159" s="90"/>
      <c r="E159" s="224"/>
      <c r="F159" s="224" t="s">
        <v>231</v>
      </c>
      <c r="G159" s="79"/>
    </row>
    <row r="160" spans="1:7">
      <c r="A160" s="90" t="s">
        <v>6293</v>
      </c>
      <c r="B160" s="90" t="s">
        <v>6257</v>
      </c>
      <c r="C160" s="90">
        <v>72</v>
      </c>
      <c r="D160" s="90"/>
      <c r="E160" s="224"/>
      <c r="F160" s="224" t="s">
        <v>231</v>
      </c>
      <c r="G160" s="79"/>
    </row>
    <row r="161" spans="1:7">
      <c r="A161" s="90" t="s">
        <v>723</v>
      </c>
      <c r="B161" s="90" t="s">
        <v>6292</v>
      </c>
      <c r="C161" s="90">
        <v>3</v>
      </c>
      <c r="D161" s="90"/>
      <c r="E161" s="224"/>
      <c r="F161" s="224" t="s">
        <v>231</v>
      </c>
      <c r="G161" s="79"/>
    </row>
    <row r="162" spans="1:7">
      <c r="A162" s="90" t="s">
        <v>6291</v>
      </c>
      <c r="B162" s="90" t="s">
        <v>6257</v>
      </c>
      <c r="C162" s="90">
        <v>100</v>
      </c>
      <c r="D162" s="90"/>
      <c r="E162" s="224"/>
      <c r="F162" s="224" t="s">
        <v>231</v>
      </c>
      <c r="G162" s="79"/>
    </row>
    <row r="163" spans="1:7">
      <c r="A163" s="90" t="s">
        <v>6290</v>
      </c>
      <c r="B163" s="90" t="s">
        <v>6257</v>
      </c>
      <c r="C163" s="90">
        <v>3</v>
      </c>
      <c r="D163" s="90"/>
      <c r="E163" s="224"/>
      <c r="F163" s="224" t="s">
        <v>231</v>
      </c>
      <c r="G163" s="79"/>
    </row>
    <row r="164" spans="1:7">
      <c r="A164" s="90" t="s">
        <v>6289</v>
      </c>
      <c r="B164" s="90" t="s">
        <v>6257</v>
      </c>
      <c r="C164" s="90">
        <v>3</v>
      </c>
      <c r="D164" s="90"/>
      <c r="E164" s="224"/>
      <c r="F164" s="224" t="s">
        <v>231</v>
      </c>
      <c r="G164" s="79"/>
    </row>
    <row r="165" spans="1:7">
      <c r="A165" s="90" t="s">
        <v>6288</v>
      </c>
      <c r="B165" s="90" t="s">
        <v>6257</v>
      </c>
      <c r="C165" s="90">
        <v>3</v>
      </c>
      <c r="D165" s="90"/>
      <c r="E165" s="224"/>
      <c r="F165" s="224" t="s">
        <v>231</v>
      </c>
      <c r="G165" s="79"/>
    </row>
    <row r="166" spans="1:7">
      <c r="A166" s="90" t="s">
        <v>6287</v>
      </c>
      <c r="B166" s="90" t="s">
        <v>6257</v>
      </c>
      <c r="C166" s="90">
        <v>3</v>
      </c>
      <c r="D166" s="90"/>
      <c r="E166" s="224"/>
      <c r="F166" s="224" t="s">
        <v>231</v>
      </c>
      <c r="G166" s="79"/>
    </row>
    <row r="167" spans="1:7">
      <c r="A167" s="90" t="s">
        <v>6286</v>
      </c>
      <c r="B167" s="90" t="s">
        <v>6257</v>
      </c>
      <c r="C167" s="90">
        <v>3</v>
      </c>
      <c r="D167" s="90"/>
      <c r="E167" s="224"/>
      <c r="F167" s="224" t="s">
        <v>231</v>
      </c>
      <c r="G167" s="79"/>
    </row>
    <row r="168" spans="1:7">
      <c r="A168" s="90" t="s">
        <v>6285</v>
      </c>
      <c r="B168" s="90" t="s">
        <v>6257</v>
      </c>
      <c r="C168" s="90">
        <v>3</v>
      </c>
      <c r="D168" s="90"/>
      <c r="E168" s="224"/>
      <c r="F168" s="224" t="s">
        <v>231</v>
      </c>
      <c r="G168" s="79"/>
    </row>
    <row r="169" spans="1:7">
      <c r="A169" s="90" t="s">
        <v>6284</v>
      </c>
      <c r="B169" s="90" t="s">
        <v>6261</v>
      </c>
      <c r="C169" s="90">
        <v>3</v>
      </c>
      <c r="D169" s="90"/>
      <c r="E169" s="224"/>
      <c r="F169" s="224" t="s">
        <v>6256</v>
      </c>
      <c r="G169" s="79"/>
    </row>
    <row r="170" spans="1:7">
      <c r="A170" s="90" t="s">
        <v>802</v>
      </c>
      <c r="B170" s="90" t="s">
        <v>6261</v>
      </c>
      <c r="C170" s="90">
        <v>3</v>
      </c>
      <c r="D170" s="90"/>
      <c r="E170" s="224"/>
      <c r="F170" s="224" t="s">
        <v>6256</v>
      </c>
      <c r="G170" s="79"/>
    </row>
    <row r="171" spans="1:7">
      <c r="A171" s="90" t="s">
        <v>6283</v>
      </c>
      <c r="B171" s="90" t="s">
        <v>6257</v>
      </c>
      <c r="C171" s="90">
        <v>2</v>
      </c>
      <c r="D171" s="90"/>
      <c r="E171" s="224"/>
      <c r="F171" s="224" t="s">
        <v>6256</v>
      </c>
      <c r="G171" s="79"/>
    </row>
    <row r="172" spans="1:7">
      <c r="A172" s="90" t="s">
        <v>6282</v>
      </c>
      <c r="B172" s="90" t="s">
        <v>6257</v>
      </c>
      <c r="C172" s="90">
        <v>300</v>
      </c>
      <c r="D172" s="90"/>
      <c r="E172" s="224"/>
      <c r="F172" s="224" t="s">
        <v>6256</v>
      </c>
      <c r="G172" s="79"/>
    </row>
    <row r="173" spans="1:7">
      <c r="A173" s="90" t="s">
        <v>6281</v>
      </c>
      <c r="B173" s="90" t="s">
        <v>6257</v>
      </c>
      <c r="C173" s="90">
        <v>3</v>
      </c>
      <c r="D173" s="90"/>
      <c r="E173" s="224"/>
      <c r="F173" s="224" t="s">
        <v>6256</v>
      </c>
      <c r="G173" s="79"/>
    </row>
    <row r="174" spans="1:7">
      <c r="A174" s="90" t="s">
        <v>6280</v>
      </c>
      <c r="B174" s="90" t="s">
        <v>6257</v>
      </c>
      <c r="C174" s="90">
        <v>3</v>
      </c>
      <c r="D174" s="90"/>
      <c r="E174" s="224"/>
      <c r="F174" s="224" t="s">
        <v>6256</v>
      </c>
      <c r="G174" s="79"/>
    </row>
    <row r="175" spans="1:7">
      <c r="A175" s="90" t="s">
        <v>6279</v>
      </c>
      <c r="B175" s="90" t="s">
        <v>6254</v>
      </c>
      <c r="C175" s="90">
        <v>12</v>
      </c>
      <c r="D175" s="90"/>
      <c r="E175" s="224"/>
      <c r="F175" s="224" t="s">
        <v>6256</v>
      </c>
      <c r="G175" s="79"/>
    </row>
    <row r="176" spans="1:7">
      <c r="A176" s="90" t="s">
        <v>6278</v>
      </c>
      <c r="B176" s="90" t="s">
        <v>6257</v>
      </c>
      <c r="C176" s="90">
        <v>3</v>
      </c>
      <c r="D176" s="90"/>
      <c r="E176" s="224"/>
      <c r="F176" s="224" t="s">
        <v>6256</v>
      </c>
      <c r="G176" s="79"/>
    </row>
    <row r="177" spans="1:7">
      <c r="A177" s="90" t="s">
        <v>6277</v>
      </c>
      <c r="B177" s="90" t="s">
        <v>6257</v>
      </c>
      <c r="C177" s="90">
        <v>50</v>
      </c>
      <c r="D177" s="90"/>
      <c r="E177" s="224"/>
      <c r="F177" s="224" t="s">
        <v>6256</v>
      </c>
      <c r="G177" s="79"/>
    </row>
    <row r="178" spans="1:7">
      <c r="A178" s="90" t="s">
        <v>6276</v>
      </c>
      <c r="B178" s="90" t="s">
        <v>6261</v>
      </c>
      <c r="C178" s="90">
        <v>13</v>
      </c>
      <c r="D178" s="90"/>
      <c r="E178" s="224"/>
      <c r="F178" s="224" t="s">
        <v>6256</v>
      </c>
      <c r="G178" s="79"/>
    </row>
    <row r="179" spans="1:7">
      <c r="A179" s="90" t="s">
        <v>6275</v>
      </c>
      <c r="B179" s="90" t="s">
        <v>6254</v>
      </c>
      <c r="C179" s="90">
        <v>5</v>
      </c>
      <c r="D179" s="90"/>
      <c r="E179" s="224"/>
      <c r="F179" s="224" t="s">
        <v>6256</v>
      </c>
      <c r="G179" s="79"/>
    </row>
    <row r="180" spans="1:7">
      <c r="A180" s="90" t="s">
        <v>6274</v>
      </c>
      <c r="B180" s="90" t="s">
        <v>6257</v>
      </c>
      <c r="C180" s="90">
        <v>3</v>
      </c>
      <c r="D180" s="90"/>
      <c r="E180" s="224"/>
      <c r="F180" s="224" t="s">
        <v>6256</v>
      </c>
      <c r="G180" s="79"/>
    </row>
    <row r="181" spans="1:7">
      <c r="A181" s="90" t="s">
        <v>6273</v>
      </c>
      <c r="B181" s="90" t="s">
        <v>6254</v>
      </c>
      <c r="C181" s="90">
        <v>1000</v>
      </c>
      <c r="D181" s="90"/>
      <c r="E181" s="224"/>
      <c r="F181" s="224" t="s">
        <v>6256</v>
      </c>
      <c r="G181" s="79"/>
    </row>
    <row r="182" spans="1:7">
      <c r="A182" s="90" t="s">
        <v>6272</v>
      </c>
      <c r="B182" s="90" t="s">
        <v>6257</v>
      </c>
      <c r="C182" s="90">
        <v>3</v>
      </c>
      <c r="D182" s="90"/>
      <c r="E182" s="224"/>
      <c r="F182" s="224" t="s">
        <v>6256</v>
      </c>
      <c r="G182" s="79"/>
    </row>
    <row r="183" spans="1:7">
      <c r="A183" s="90" t="s">
        <v>6481</v>
      </c>
      <c r="B183" s="90" t="s">
        <v>6261</v>
      </c>
      <c r="C183" s="90">
        <v>4</v>
      </c>
      <c r="D183" s="90"/>
      <c r="E183" s="224"/>
      <c r="F183" s="224" t="s">
        <v>6256</v>
      </c>
      <c r="G183" s="79"/>
    </row>
    <row r="184" spans="1:7">
      <c r="A184" s="90" t="s">
        <v>6271</v>
      </c>
      <c r="B184" s="90" t="s">
        <v>6257</v>
      </c>
      <c r="C184" s="90">
        <v>3</v>
      </c>
      <c r="D184" s="90"/>
      <c r="E184" s="224"/>
      <c r="F184" s="224" t="s">
        <v>6256</v>
      </c>
      <c r="G184" s="79"/>
    </row>
    <row r="185" spans="1:7">
      <c r="A185" s="90" t="s">
        <v>6270</v>
      </c>
      <c r="B185" s="90" t="s">
        <v>6254</v>
      </c>
      <c r="C185" s="90">
        <v>200</v>
      </c>
      <c r="D185" s="90"/>
      <c r="E185" s="224"/>
      <c r="F185" s="224" t="s">
        <v>6256</v>
      </c>
      <c r="G185" s="79"/>
    </row>
    <row r="186" spans="1:7">
      <c r="A186" s="90" t="s">
        <v>6269</v>
      </c>
      <c r="B186" s="90" t="s">
        <v>6257</v>
      </c>
      <c r="C186" s="90">
        <v>3</v>
      </c>
      <c r="D186" s="90"/>
      <c r="E186" s="224"/>
      <c r="F186" s="224" t="s">
        <v>6256</v>
      </c>
      <c r="G186" s="79"/>
    </row>
    <row r="187" spans="1:7">
      <c r="A187" s="90" t="s">
        <v>750</v>
      </c>
      <c r="B187" s="90" t="s">
        <v>6257</v>
      </c>
      <c r="C187" s="90">
        <v>6</v>
      </c>
      <c r="D187" s="90"/>
      <c r="E187" s="224"/>
      <c r="F187" s="224" t="s">
        <v>6256</v>
      </c>
      <c r="G187" s="79"/>
    </row>
    <row r="188" spans="1:7">
      <c r="A188" s="90" t="s">
        <v>748</v>
      </c>
      <c r="B188" s="90" t="s">
        <v>6257</v>
      </c>
      <c r="C188" s="90">
        <v>8</v>
      </c>
      <c r="D188" s="90"/>
      <c r="E188" s="224"/>
      <c r="F188" s="224" t="s">
        <v>6256</v>
      </c>
      <c r="G188" s="79"/>
    </row>
    <row r="189" spans="1:7">
      <c r="A189" s="90" t="s">
        <v>6268</v>
      </c>
      <c r="B189" s="90" t="s">
        <v>6257</v>
      </c>
      <c r="C189" s="90">
        <v>3</v>
      </c>
      <c r="D189" s="90"/>
      <c r="E189" s="224"/>
      <c r="F189" s="224" t="s">
        <v>6256</v>
      </c>
      <c r="G189" s="79"/>
    </row>
    <row r="190" spans="1:7">
      <c r="A190" s="90" t="s">
        <v>2929</v>
      </c>
      <c r="B190" s="90" t="s">
        <v>6261</v>
      </c>
      <c r="C190" s="90">
        <v>6</v>
      </c>
      <c r="D190" s="90">
        <v>4</v>
      </c>
      <c r="E190" s="224"/>
      <c r="F190" s="224" t="s">
        <v>6256</v>
      </c>
      <c r="G190" s="79"/>
    </row>
    <row r="191" spans="1:7">
      <c r="A191" s="90" t="s">
        <v>6267</v>
      </c>
      <c r="B191" s="90" t="s">
        <v>6257</v>
      </c>
      <c r="C191" s="90">
        <v>2</v>
      </c>
      <c r="D191" s="90"/>
      <c r="E191" s="224"/>
      <c r="F191" s="224" t="s">
        <v>6256</v>
      </c>
      <c r="G191" s="79"/>
    </row>
    <row r="192" spans="1:7">
      <c r="A192" s="90" t="s">
        <v>6266</v>
      </c>
      <c r="B192" s="90" t="s">
        <v>6261</v>
      </c>
      <c r="C192" s="90">
        <v>6</v>
      </c>
      <c r="D192" s="90">
        <v>4</v>
      </c>
      <c r="E192" s="224"/>
      <c r="F192" s="224" t="s">
        <v>6256</v>
      </c>
      <c r="G192" s="79"/>
    </row>
    <row r="193" spans="1:7">
      <c r="A193" s="90" t="s">
        <v>6265</v>
      </c>
      <c r="B193" s="90" t="s">
        <v>6257</v>
      </c>
      <c r="C193" s="90">
        <v>3</v>
      </c>
      <c r="D193" s="90"/>
      <c r="E193" s="224"/>
      <c r="F193" s="224" t="s">
        <v>6256</v>
      </c>
      <c r="G193" s="79"/>
    </row>
    <row r="194" spans="1:7">
      <c r="A194" s="90" t="s">
        <v>6264</v>
      </c>
      <c r="B194" s="90" t="s">
        <v>6261</v>
      </c>
      <c r="C194" s="90">
        <v>6</v>
      </c>
      <c r="D194" s="225" t="s">
        <v>6260</v>
      </c>
      <c r="E194" s="224"/>
      <c r="F194" s="224" t="s">
        <v>6256</v>
      </c>
      <c r="G194" s="79"/>
    </row>
    <row r="195" spans="1:7">
      <c r="A195" s="90" t="s">
        <v>6263</v>
      </c>
      <c r="B195" s="90" t="s">
        <v>6261</v>
      </c>
      <c r="C195" s="90">
        <v>6</v>
      </c>
      <c r="D195" s="225" t="s">
        <v>6260</v>
      </c>
      <c r="E195" s="224"/>
      <c r="F195" s="224" t="s">
        <v>6256</v>
      </c>
      <c r="G195" s="79"/>
    </row>
    <row r="196" spans="1:7">
      <c r="A196" s="90" t="s">
        <v>6262</v>
      </c>
      <c r="B196" s="90" t="s">
        <v>6261</v>
      </c>
      <c r="C196" s="90">
        <v>6</v>
      </c>
      <c r="D196" s="225" t="s">
        <v>6260</v>
      </c>
      <c r="E196" s="224"/>
      <c r="F196" s="224" t="s">
        <v>6256</v>
      </c>
      <c r="G196" s="79"/>
    </row>
    <row r="197" spans="1:7">
      <c r="A197" s="90" t="s">
        <v>6259</v>
      </c>
      <c r="B197" s="90" t="s">
        <v>6254</v>
      </c>
      <c r="C197" s="90">
        <v>200</v>
      </c>
      <c r="D197" s="90"/>
      <c r="E197" s="224"/>
      <c r="F197" s="224" t="s">
        <v>6256</v>
      </c>
      <c r="G197" s="79"/>
    </row>
    <row r="198" spans="1:7">
      <c r="A198" s="90" t="s">
        <v>6258</v>
      </c>
      <c r="B198" s="90" t="s">
        <v>6257</v>
      </c>
      <c r="C198" s="90">
        <v>3</v>
      </c>
      <c r="D198" s="90"/>
      <c r="E198" s="224"/>
      <c r="F198" s="224" t="s">
        <v>6256</v>
      </c>
      <c r="G198" s="79"/>
    </row>
    <row r="199" spans="1:7">
      <c r="A199" s="90" t="s">
        <v>6255</v>
      </c>
      <c r="B199" s="90" t="s">
        <v>6254</v>
      </c>
      <c r="C199" s="90">
        <v>128</v>
      </c>
      <c r="D199" s="90"/>
      <c r="E199" s="224"/>
      <c r="F199" s="224" t="s">
        <v>1739</v>
      </c>
      <c r="G199" s="79"/>
    </row>
    <row r="200" spans="1:7">
      <c r="A200" s="90" t="s">
        <v>3183</v>
      </c>
      <c r="B200" s="90" t="s">
        <v>6253</v>
      </c>
      <c r="C200" s="90">
        <v>5</v>
      </c>
      <c r="D200" s="90"/>
      <c r="E200" s="224"/>
      <c r="F200" s="224" t="s">
        <v>1739</v>
      </c>
      <c r="G200" s="79"/>
    </row>
    <row r="201" spans="1:7">
      <c r="A201" s="255" t="s">
        <v>6463</v>
      </c>
      <c r="B201" s="255" t="s">
        <v>6980</v>
      </c>
      <c r="C201" s="255">
        <v>36</v>
      </c>
      <c r="D201" s="255"/>
      <c r="E201" s="256"/>
      <c r="F201" s="256" t="s">
        <v>135</v>
      </c>
      <c r="G201" s="246">
        <v>41584</v>
      </c>
    </row>
    <row r="202" spans="1:7">
      <c r="A202" s="255" t="s">
        <v>6991</v>
      </c>
      <c r="B202" s="255" t="s">
        <v>6253</v>
      </c>
      <c r="C202" s="255">
        <v>2</v>
      </c>
      <c r="D202" s="255"/>
      <c r="E202" s="256"/>
      <c r="F202" s="256" t="s">
        <v>135</v>
      </c>
      <c r="G202" s="246">
        <v>41584</v>
      </c>
    </row>
    <row r="203" spans="1:7">
      <c r="A203" s="255" t="s">
        <v>7017</v>
      </c>
      <c r="B203" s="255" t="s">
        <v>7022</v>
      </c>
      <c r="C203" s="255">
        <v>3</v>
      </c>
      <c r="D203" s="255"/>
      <c r="E203" s="256"/>
      <c r="F203" s="256" t="s">
        <v>7023</v>
      </c>
      <c r="G203" s="246">
        <v>41593</v>
      </c>
    </row>
    <row r="204" spans="1:7">
      <c r="A204" s="255" t="s">
        <v>7019</v>
      </c>
      <c r="B204" s="255" t="s">
        <v>7022</v>
      </c>
      <c r="C204" s="255">
        <v>2</v>
      </c>
      <c r="D204" s="255"/>
      <c r="E204" s="256"/>
      <c r="F204" s="256" t="s">
        <v>7023</v>
      </c>
      <c r="G204" s="246">
        <v>41593</v>
      </c>
    </row>
    <row r="205" spans="1:7">
      <c r="A205" s="255" t="s">
        <v>7021</v>
      </c>
      <c r="B205" s="255" t="s">
        <v>7022</v>
      </c>
      <c r="C205" s="255">
        <v>1</v>
      </c>
      <c r="D205" s="255"/>
      <c r="E205" s="256"/>
      <c r="F205" s="256" t="s">
        <v>7023</v>
      </c>
      <c r="G205" s="246">
        <v>41593</v>
      </c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6252</v>
      </c>
      <c r="B218" s="76"/>
      <c r="C218" s="76" t="s">
        <v>6252</v>
      </c>
      <c r="D218" s="76" t="s">
        <v>6252</v>
      </c>
    </row>
  </sheetData>
  <autoFilter ref="A1:G201"/>
  <phoneticPr fontId="4"/>
  <conditionalFormatting sqref="A1:A202 A206:A1048576">
    <cfRule type="duplicateValues" dxfId="66" priority="6" stopIfTrue="1"/>
  </conditionalFormatting>
  <conditionalFormatting sqref="A203">
    <cfRule type="duplicateValues" dxfId="65" priority="3" stopIfTrue="1"/>
  </conditionalFormatting>
  <conditionalFormatting sqref="A204">
    <cfRule type="duplicateValues" dxfId="64" priority="2" stopIfTrue="1"/>
  </conditionalFormatting>
  <conditionalFormatting sqref="A205">
    <cfRule type="duplicateValues" dxfId="63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G23" sqref="G2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1650</v>
      </c>
      <c r="B1" s="218" t="s">
        <v>6409</v>
      </c>
      <c r="C1" s="222" t="s">
        <v>4657</v>
      </c>
      <c r="D1" s="191" t="s">
        <v>4656</v>
      </c>
    </row>
    <row r="2" spans="1:4">
      <c r="A2" s="200" t="s">
        <v>4597</v>
      </c>
      <c r="B2" s="200" t="s">
        <v>6408</v>
      </c>
      <c r="C2" s="224"/>
      <c r="D2" s="79"/>
    </row>
    <row r="3" spans="1:4">
      <c r="A3" s="200" t="s">
        <v>6407</v>
      </c>
      <c r="B3" s="200" t="s">
        <v>6405</v>
      </c>
      <c r="C3" s="224"/>
      <c r="D3" s="79"/>
    </row>
    <row r="4" spans="1:4">
      <c r="A4" s="200" t="s">
        <v>6406</v>
      </c>
      <c r="B4" s="200" t="s">
        <v>6405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5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2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83</v>
      </c>
      <c r="J2" s="325"/>
      <c r="K2" s="325"/>
      <c r="L2" s="325"/>
      <c r="M2" s="325"/>
      <c r="N2" s="325"/>
      <c r="O2" s="325"/>
      <c r="P2" s="325" t="s">
        <v>81</v>
      </c>
      <c r="Q2" s="325"/>
      <c r="R2" s="325"/>
      <c r="S2" s="325"/>
      <c r="T2" s="325"/>
      <c r="U2" s="325"/>
      <c r="V2" s="3" t="s">
        <v>65</v>
      </c>
      <c r="W2" s="327" t="s">
        <v>25</v>
      </c>
      <c r="X2" s="325"/>
      <c r="Y2" s="325"/>
      <c r="Z2" s="325"/>
      <c r="AA2" s="329">
        <v>41579</v>
      </c>
      <c r="AB2" s="325"/>
    </row>
    <row r="3" spans="1:28" ht="30" customHeight="1">
      <c r="A3" s="6" t="s">
        <v>6</v>
      </c>
      <c r="B3" s="330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28" ht="14.25" thickBot="1">
      <c r="A4" s="7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" t="s">
        <v>11</v>
      </c>
      <c r="N4" s="7" t="s">
        <v>12</v>
      </c>
      <c r="O4" s="7" t="s">
        <v>13</v>
      </c>
      <c r="P4" s="7" t="s">
        <v>14</v>
      </c>
      <c r="Q4" s="313" t="s">
        <v>15</v>
      </c>
      <c r="R4" s="313"/>
      <c r="S4" s="313"/>
      <c r="T4" s="313"/>
      <c r="U4" s="313"/>
      <c r="V4" s="7" t="s">
        <v>16</v>
      </c>
      <c r="W4" s="313" t="s">
        <v>17</v>
      </c>
      <c r="X4" s="313"/>
      <c r="Y4" s="313"/>
      <c r="Z4" s="313"/>
      <c r="AA4" s="313"/>
      <c r="AB4" s="313"/>
    </row>
    <row r="5" spans="1:28" s="2" customFormat="1" ht="14.25" thickTop="1">
      <c r="A5" s="9">
        <f>ROW()-4</f>
        <v>1</v>
      </c>
      <c r="B5" s="356"/>
      <c r="C5" s="357"/>
      <c r="D5" s="357"/>
      <c r="E5" s="357"/>
      <c r="F5" s="358"/>
      <c r="G5" s="340"/>
      <c r="H5" s="341"/>
      <c r="I5" s="341"/>
      <c r="J5" s="342"/>
      <c r="K5" s="367"/>
      <c r="L5" s="368"/>
      <c r="M5" s="10"/>
      <c r="N5" s="11"/>
      <c r="O5" s="12"/>
      <c r="P5" s="12"/>
      <c r="Q5" s="314"/>
      <c r="R5" s="315"/>
      <c r="S5" s="315"/>
      <c r="T5" s="315"/>
      <c r="U5" s="316"/>
      <c r="V5" s="33"/>
      <c r="W5" s="322"/>
      <c r="X5" s="323"/>
      <c r="Y5" s="323"/>
      <c r="Z5" s="323"/>
      <c r="AA5" s="323"/>
      <c r="AB5" s="323"/>
    </row>
    <row r="6" spans="1:28">
      <c r="A6" s="8">
        <f>ROW()-4</f>
        <v>2</v>
      </c>
      <c r="B6" s="359"/>
      <c r="C6" s="360"/>
      <c r="D6" s="360"/>
      <c r="E6" s="360"/>
      <c r="F6" s="361"/>
      <c r="G6" s="359"/>
      <c r="H6" s="360"/>
      <c r="I6" s="360"/>
      <c r="J6" s="361"/>
      <c r="K6" s="362"/>
      <c r="L6" s="363"/>
      <c r="M6" s="34"/>
      <c r="N6" s="35"/>
      <c r="O6" s="36"/>
      <c r="P6" s="36"/>
      <c r="Q6" s="285"/>
      <c r="R6" s="286"/>
      <c r="S6" s="286"/>
      <c r="T6" s="286"/>
      <c r="U6" s="287"/>
      <c r="V6" s="37"/>
      <c r="W6" s="288"/>
      <c r="X6" s="288"/>
      <c r="Y6" s="288"/>
      <c r="Z6" s="288"/>
      <c r="AA6" s="288"/>
      <c r="AB6" s="288"/>
    </row>
    <row r="7" spans="1:28">
      <c r="A7" s="4">
        <f t="shared" ref="A7:A70" si="0">ROW()-4</f>
        <v>3</v>
      </c>
      <c r="B7" s="340"/>
      <c r="C7" s="341"/>
      <c r="D7" s="341"/>
      <c r="E7" s="341"/>
      <c r="F7" s="342"/>
      <c r="G7" s="340"/>
      <c r="H7" s="341"/>
      <c r="I7" s="341"/>
      <c r="J7" s="342"/>
      <c r="K7" s="364"/>
      <c r="L7" s="365"/>
      <c r="M7" s="38"/>
      <c r="N7" s="39"/>
      <c r="O7" s="40"/>
      <c r="P7" s="40"/>
      <c r="Q7" s="305"/>
      <c r="R7" s="306"/>
      <c r="S7" s="306"/>
      <c r="T7" s="306"/>
      <c r="U7" s="307"/>
      <c r="V7" s="41"/>
      <c r="W7" s="310"/>
      <c r="X7" s="310"/>
      <c r="Y7" s="310"/>
      <c r="Z7" s="310"/>
      <c r="AA7" s="310"/>
      <c r="AB7" s="310"/>
    </row>
    <row r="8" spans="1:28" s="2" customFormat="1">
      <c r="A8" s="14">
        <f t="shared" si="0"/>
        <v>4</v>
      </c>
      <c r="B8" s="359"/>
      <c r="C8" s="360"/>
      <c r="D8" s="360"/>
      <c r="E8" s="360"/>
      <c r="F8" s="361"/>
      <c r="G8" s="359"/>
      <c r="H8" s="360"/>
      <c r="I8" s="360"/>
      <c r="J8" s="361"/>
      <c r="K8" s="362"/>
      <c r="L8" s="363"/>
      <c r="M8" s="34"/>
      <c r="N8" s="35"/>
      <c r="O8" s="36"/>
      <c r="P8" s="36"/>
      <c r="Q8" s="285"/>
      <c r="R8" s="286"/>
      <c r="S8" s="286"/>
      <c r="T8" s="286"/>
      <c r="U8" s="287"/>
      <c r="V8" s="37"/>
      <c r="W8" s="288"/>
      <c r="X8" s="288"/>
      <c r="Y8" s="288"/>
      <c r="Z8" s="288"/>
      <c r="AA8" s="288"/>
      <c r="AB8" s="288"/>
    </row>
    <row r="9" spans="1:28">
      <c r="A9" s="4">
        <f t="shared" si="0"/>
        <v>5</v>
      </c>
      <c r="B9" s="340"/>
      <c r="C9" s="341"/>
      <c r="D9" s="341"/>
      <c r="E9" s="341"/>
      <c r="F9" s="342"/>
      <c r="G9" s="340"/>
      <c r="H9" s="341"/>
      <c r="I9" s="341"/>
      <c r="J9" s="342"/>
      <c r="K9" s="364"/>
      <c r="L9" s="365"/>
      <c r="M9" s="38"/>
      <c r="N9" s="39"/>
      <c r="O9" s="40"/>
      <c r="P9" s="40"/>
      <c r="Q9" s="305"/>
      <c r="R9" s="306"/>
      <c r="S9" s="306"/>
      <c r="T9" s="306"/>
      <c r="U9" s="307"/>
      <c r="V9" s="41"/>
      <c r="W9" s="310"/>
      <c r="X9" s="310"/>
      <c r="Y9" s="310"/>
      <c r="Z9" s="310"/>
      <c r="AA9" s="310"/>
      <c r="AB9" s="310"/>
    </row>
    <row r="10" spans="1:28" s="2" customFormat="1">
      <c r="A10" s="14">
        <f t="shared" si="0"/>
        <v>6</v>
      </c>
      <c r="B10" s="359"/>
      <c r="C10" s="360"/>
      <c r="D10" s="360"/>
      <c r="E10" s="360"/>
      <c r="F10" s="361"/>
      <c r="G10" s="359"/>
      <c r="H10" s="360"/>
      <c r="I10" s="360"/>
      <c r="J10" s="361"/>
      <c r="K10" s="362"/>
      <c r="L10" s="363"/>
      <c r="M10" s="34"/>
      <c r="N10" s="35"/>
      <c r="O10" s="36"/>
      <c r="P10" s="36"/>
      <c r="Q10" s="285"/>
      <c r="R10" s="286"/>
      <c r="S10" s="286"/>
      <c r="T10" s="286"/>
      <c r="U10" s="287"/>
      <c r="V10" s="37"/>
      <c r="W10" s="288"/>
      <c r="X10" s="288"/>
      <c r="Y10" s="288"/>
      <c r="Z10" s="288"/>
      <c r="AA10" s="288"/>
      <c r="AB10" s="288"/>
    </row>
    <row r="11" spans="1:28" s="2" customFormat="1">
      <c r="A11" s="15">
        <f t="shared" si="0"/>
        <v>7</v>
      </c>
      <c r="B11" s="340"/>
      <c r="C11" s="341"/>
      <c r="D11" s="341"/>
      <c r="E11" s="341"/>
      <c r="F11" s="342"/>
      <c r="G11" s="340"/>
      <c r="H11" s="341"/>
      <c r="I11" s="341"/>
      <c r="J11" s="342"/>
      <c r="K11" s="364"/>
      <c r="L11" s="365"/>
      <c r="M11" s="38"/>
      <c r="N11" s="39"/>
      <c r="O11" s="40"/>
      <c r="P11" s="40"/>
      <c r="Q11" s="305"/>
      <c r="R11" s="306"/>
      <c r="S11" s="306"/>
      <c r="T11" s="306"/>
      <c r="U11" s="307"/>
      <c r="V11" s="41"/>
      <c r="W11" s="310"/>
      <c r="X11" s="310"/>
      <c r="Y11" s="310"/>
      <c r="Z11" s="310"/>
      <c r="AA11" s="310"/>
      <c r="AB11" s="310"/>
    </row>
    <row r="12" spans="1:28">
      <c r="A12" s="8">
        <f t="shared" si="0"/>
        <v>8</v>
      </c>
      <c r="B12" s="359"/>
      <c r="C12" s="360"/>
      <c r="D12" s="360"/>
      <c r="E12" s="360"/>
      <c r="F12" s="361"/>
      <c r="G12" s="359"/>
      <c r="H12" s="360"/>
      <c r="I12" s="360"/>
      <c r="J12" s="361"/>
      <c r="K12" s="362"/>
      <c r="L12" s="363"/>
      <c r="M12" s="34"/>
      <c r="N12" s="35"/>
      <c r="O12" s="36"/>
      <c r="P12" s="36"/>
      <c r="Q12" s="285"/>
      <c r="R12" s="286"/>
      <c r="S12" s="286"/>
      <c r="T12" s="286"/>
      <c r="U12" s="287"/>
      <c r="V12" s="37"/>
      <c r="W12" s="288"/>
      <c r="X12" s="288"/>
      <c r="Y12" s="288"/>
      <c r="Z12" s="288"/>
      <c r="AA12" s="288"/>
      <c r="AB12" s="288"/>
    </row>
    <row r="13" spans="1:28" s="2" customFormat="1" ht="13.5" customHeight="1">
      <c r="A13" s="15">
        <f t="shared" si="0"/>
        <v>9</v>
      </c>
      <c r="B13" s="340"/>
      <c r="C13" s="341"/>
      <c r="D13" s="341"/>
      <c r="E13" s="341"/>
      <c r="F13" s="342"/>
      <c r="G13" s="340"/>
      <c r="H13" s="341"/>
      <c r="I13" s="341"/>
      <c r="J13" s="342"/>
      <c r="K13" s="364"/>
      <c r="L13" s="365"/>
      <c r="M13" s="38"/>
      <c r="N13" s="39"/>
      <c r="O13" s="40"/>
      <c r="P13" s="40"/>
      <c r="Q13" s="305"/>
      <c r="R13" s="306"/>
      <c r="S13" s="306"/>
      <c r="T13" s="306"/>
      <c r="U13" s="307"/>
      <c r="V13" s="41"/>
      <c r="W13" s="310"/>
      <c r="X13" s="310"/>
      <c r="Y13" s="310"/>
      <c r="Z13" s="310"/>
      <c r="AA13" s="310"/>
      <c r="AB13" s="310"/>
    </row>
    <row r="14" spans="1:28" s="2" customFormat="1" ht="13.5" customHeight="1">
      <c r="A14" s="14">
        <f t="shared" si="0"/>
        <v>10</v>
      </c>
      <c r="B14" s="359"/>
      <c r="C14" s="360"/>
      <c r="D14" s="360"/>
      <c r="E14" s="360"/>
      <c r="F14" s="361"/>
      <c r="G14" s="359"/>
      <c r="H14" s="360"/>
      <c r="I14" s="360"/>
      <c r="J14" s="361"/>
      <c r="K14" s="362"/>
      <c r="L14" s="363"/>
      <c r="M14" s="34"/>
      <c r="N14" s="35"/>
      <c r="O14" s="36"/>
      <c r="P14" s="36"/>
      <c r="Q14" s="285"/>
      <c r="R14" s="286"/>
      <c r="S14" s="286"/>
      <c r="T14" s="286"/>
      <c r="U14" s="287"/>
      <c r="V14" s="37"/>
      <c r="W14" s="288"/>
      <c r="X14" s="288"/>
      <c r="Y14" s="288"/>
      <c r="Z14" s="288"/>
      <c r="AA14" s="288"/>
      <c r="AB14" s="288"/>
    </row>
    <row r="15" spans="1:28" s="2" customFormat="1" ht="13.5" customHeight="1">
      <c r="A15" s="15">
        <f t="shared" si="0"/>
        <v>11</v>
      </c>
      <c r="B15" s="340"/>
      <c r="C15" s="341"/>
      <c r="D15" s="341"/>
      <c r="E15" s="341"/>
      <c r="F15" s="342"/>
      <c r="G15" s="340"/>
      <c r="H15" s="341"/>
      <c r="I15" s="341"/>
      <c r="J15" s="342"/>
      <c r="K15" s="364"/>
      <c r="L15" s="365"/>
      <c r="M15" s="38"/>
      <c r="N15" s="39"/>
      <c r="O15" s="40"/>
      <c r="P15" s="40"/>
      <c r="Q15" s="305"/>
      <c r="R15" s="306"/>
      <c r="S15" s="306"/>
      <c r="T15" s="306"/>
      <c r="U15" s="307"/>
      <c r="V15" s="41"/>
      <c r="W15" s="310"/>
      <c r="X15" s="310"/>
      <c r="Y15" s="310"/>
      <c r="Z15" s="310"/>
      <c r="AA15" s="310"/>
      <c r="AB15" s="310"/>
    </row>
    <row r="16" spans="1:28" s="2" customFormat="1">
      <c r="A16" s="14">
        <f t="shared" si="0"/>
        <v>12</v>
      </c>
      <c r="B16" s="359"/>
      <c r="C16" s="360"/>
      <c r="D16" s="360"/>
      <c r="E16" s="360"/>
      <c r="F16" s="361"/>
      <c r="G16" s="359"/>
      <c r="H16" s="360"/>
      <c r="I16" s="360"/>
      <c r="J16" s="361"/>
      <c r="K16" s="362"/>
      <c r="L16" s="363"/>
      <c r="M16" s="34"/>
      <c r="N16" s="35"/>
      <c r="O16" s="36"/>
      <c r="P16" s="36"/>
      <c r="Q16" s="285"/>
      <c r="R16" s="286"/>
      <c r="S16" s="286"/>
      <c r="T16" s="286"/>
      <c r="U16" s="287"/>
      <c r="V16" s="37"/>
      <c r="W16" s="288"/>
      <c r="X16" s="288"/>
      <c r="Y16" s="288"/>
      <c r="Z16" s="288"/>
      <c r="AA16" s="288"/>
      <c r="AB16" s="288"/>
    </row>
    <row r="17" spans="1:28" s="2" customFormat="1">
      <c r="A17" s="15">
        <f t="shared" si="0"/>
        <v>13</v>
      </c>
      <c r="B17" s="340"/>
      <c r="C17" s="341"/>
      <c r="D17" s="341"/>
      <c r="E17" s="341"/>
      <c r="F17" s="342"/>
      <c r="G17" s="340"/>
      <c r="H17" s="341"/>
      <c r="I17" s="341"/>
      <c r="J17" s="342"/>
      <c r="K17" s="364"/>
      <c r="L17" s="365"/>
      <c r="M17" s="38"/>
      <c r="N17" s="39"/>
      <c r="O17" s="40"/>
      <c r="P17" s="40"/>
      <c r="Q17" s="305"/>
      <c r="R17" s="306"/>
      <c r="S17" s="306"/>
      <c r="T17" s="306"/>
      <c r="U17" s="307"/>
      <c r="V17" s="41"/>
      <c r="W17" s="310"/>
      <c r="X17" s="310"/>
      <c r="Y17" s="310"/>
      <c r="Z17" s="310"/>
      <c r="AA17" s="310"/>
      <c r="AB17" s="310"/>
    </row>
    <row r="18" spans="1:28" s="2" customFormat="1">
      <c r="A18" s="14">
        <f t="shared" si="0"/>
        <v>14</v>
      </c>
      <c r="B18" s="359"/>
      <c r="C18" s="360"/>
      <c r="D18" s="360"/>
      <c r="E18" s="360"/>
      <c r="F18" s="361"/>
      <c r="G18" s="359"/>
      <c r="H18" s="360"/>
      <c r="I18" s="360"/>
      <c r="J18" s="361"/>
      <c r="K18" s="362"/>
      <c r="L18" s="363"/>
      <c r="M18" s="34"/>
      <c r="N18" s="35"/>
      <c r="O18" s="36"/>
      <c r="P18" s="36"/>
      <c r="Q18" s="285"/>
      <c r="R18" s="286"/>
      <c r="S18" s="286"/>
      <c r="T18" s="286"/>
      <c r="U18" s="287"/>
      <c r="V18" s="37"/>
      <c r="W18" s="288"/>
      <c r="X18" s="288"/>
      <c r="Y18" s="288"/>
      <c r="Z18" s="288"/>
      <c r="AA18" s="288"/>
      <c r="AB18" s="288"/>
    </row>
    <row r="19" spans="1:28" s="2" customFormat="1">
      <c r="A19" s="15">
        <f t="shared" si="0"/>
        <v>15</v>
      </c>
      <c r="B19" s="340"/>
      <c r="C19" s="341"/>
      <c r="D19" s="341"/>
      <c r="E19" s="341"/>
      <c r="F19" s="342"/>
      <c r="G19" s="340"/>
      <c r="H19" s="341"/>
      <c r="I19" s="341"/>
      <c r="J19" s="342"/>
      <c r="K19" s="364"/>
      <c r="L19" s="365"/>
      <c r="M19" s="38"/>
      <c r="N19" s="39"/>
      <c r="O19" s="40"/>
      <c r="P19" s="40"/>
      <c r="Q19" s="305"/>
      <c r="R19" s="306"/>
      <c r="S19" s="306"/>
      <c r="T19" s="306"/>
      <c r="U19" s="307"/>
      <c r="V19" s="41"/>
      <c r="W19" s="310"/>
      <c r="X19" s="310"/>
      <c r="Y19" s="310"/>
      <c r="Z19" s="310"/>
      <c r="AA19" s="310"/>
      <c r="AB19" s="310"/>
    </row>
    <row r="20" spans="1:28" s="2" customFormat="1">
      <c r="A20" s="14">
        <f t="shared" si="0"/>
        <v>16</v>
      </c>
      <c r="B20" s="359"/>
      <c r="C20" s="360"/>
      <c r="D20" s="360"/>
      <c r="E20" s="360"/>
      <c r="F20" s="361"/>
      <c r="G20" s="359"/>
      <c r="H20" s="360"/>
      <c r="I20" s="360"/>
      <c r="J20" s="361"/>
      <c r="K20" s="362"/>
      <c r="L20" s="363"/>
      <c r="M20" s="34"/>
      <c r="N20" s="35"/>
      <c r="O20" s="36"/>
      <c r="P20" s="36"/>
      <c r="Q20" s="285"/>
      <c r="R20" s="286"/>
      <c r="S20" s="286"/>
      <c r="T20" s="286"/>
      <c r="U20" s="287"/>
      <c r="V20" s="37"/>
      <c r="W20" s="288"/>
      <c r="X20" s="288"/>
      <c r="Y20" s="288"/>
      <c r="Z20" s="288"/>
      <c r="AA20" s="288"/>
      <c r="AB20" s="288"/>
    </row>
    <row r="21" spans="1:28" s="2" customFormat="1">
      <c r="A21" s="15">
        <f t="shared" si="0"/>
        <v>17</v>
      </c>
      <c r="B21" s="340"/>
      <c r="C21" s="341"/>
      <c r="D21" s="341"/>
      <c r="E21" s="341"/>
      <c r="F21" s="342"/>
      <c r="G21" s="340"/>
      <c r="H21" s="341"/>
      <c r="I21" s="341"/>
      <c r="J21" s="342"/>
      <c r="K21" s="364"/>
      <c r="L21" s="365"/>
      <c r="M21" s="38"/>
      <c r="N21" s="39"/>
      <c r="O21" s="40"/>
      <c r="P21" s="40"/>
      <c r="Q21" s="305"/>
      <c r="R21" s="306"/>
      <c r="S21" s="306"/>
      <c r="T21" s="306"/>
      <c r="U21" s="307"/>
      <c r="V21" s="41"/>
      <c r="W21" s="310"/>
      <c r="X21" s="310"/>
      <c r="Y21" s="310"/>
      <c r="Z21" s="310"/>
      <c r="AA21" s="310"/>
      <c r="AB21" s="310"/>
    </row>
    <row r="22" spans="1:28" s="2" customFormat="1">
      <c r="A22" s="14">
        <f t="shared" si="0"/>
        <v>18</v>
      </c>
      <c r="B22" s="359"/>
      <c r="C22" s="360"/>
      <c r="D22" s="360"/>
      <c r="E22" s="360"/>
      <c r="F22" s="361"/>
      <c r="G22" s="359"/>
      <c r="H22" s="360"/>
      <c r="I22" s="360"/>
      <c r="J22" s="361"/>
      <c r="K22" s="362"/>
      <c r="L22" s="363"/>
      <c r="M22" s="34"/>
      <c r="N22" s="35"/>
      <c r="O22" s="36"/>
      <c r="P22" s="36"/>
      <c r="Q22" s="285"/>
      <c r="R22" s="286"/>
      <c r="S22" s="286"/>
      <c r="T22" s="286"/>
      <c r="U22" s="287"/>
      <c r="V22" s="37"/>
      <c r="W22" s="288"/>
      <c r="X22" s="288"/>
      <c r="Y22" s="288"/>
      <c r="Z22" s="288"/>
      <c r="AA22" s="288"/>
      <c r="AB22" s="288"/>
    </row>
    <row r="23" spans="1:28">
      <c r="A23" s="4">
        <f t="shared" si="0"/>
        <v>19</v>
      </c>
      <c r="B23" s="340"/>
      <c r="C23" s="341"/>
      <c r="D23" s="341"/>
      <c r="E23" s="341"/>
      <c r="F23" s="342"/>
      <c r="G23" s="340"/>
      <c r="H23" s="341"/>
      <c r="I23" s="341"/>
      <c r="J23" s="342"/>
      <c r="K23" s="364"/>
      <c r="L23" s="365"/>
      <c r="M23" s="38"/>
      <c r="N23" s="39"/>
      <c r="O23" s="40"/>
      <c r="P23" s="40"/>
      <c r="Q23" s="305"/>
      <c r="R23" s="306"/>
      <c r="S23" s="306"/>
      <c r="T23" s="306"/>
      <c r="U23" s="307"/>
      <c r="V23" s="41"/>
      <c r="W23" s="310"/>
      <c r="X23" s="310"/>
      <c r="Y23" s="310"/>
      <c r="Z23" s="310"/>
      <c r="AA23" s="310"/>
      <c r="AB23" s="310"/>
    </row>
    <row r="24" spans="1:28">
      <c r="A24" s="8">
        <f t="shared" si="0"/>
        <v>20</v>
      </c>
      <c r="B24" s="359"/>
      <c r="C24" s="360"/>
      <c r="D24" s="360"/>
      <c r="E24" s="360"/>
      <c r="F24" s="361"/>
      <c r="G24" s="359"/>
      <c r="H24" s="360"/>
      <c r="I24" s="360"/>
      <c r="J24" s="361"/>
      <c r="K24" s="362"/>
      <c r="L24" s="363"/>
      <c r="M24" s="34"/>
      <c r="N24" s="35"/>
      <c r="O24" s="36"/>
      <c r="P24" s="36"/>
      <c r="Q24" s="285"/>
      <c r="R24" s="286"/>
      <c r="S24" s="286"/>
      <c r="T24" s="286"/>
      <c r="U24" s="287"/>
      <c r="V24" s="37"/>
      <c r="W24" s="288"/>
      <c r="X24" s="288"/>
      <c r="Y24" s="288"/>
      <c r="Z24" s="288"/>
      <c r="AA24" s="288"/>
      <c r="AB24" s="288"/>
    </row>
    <row r="25" spans="1:28" s="2" customFormat="1">
      <c r="A25" s="15">
        <f t="shared" si="0"/>
        <v>21</v>
      </c>
      <c r="B25" s="340"/>
      <c r="C25" s="341"/>
      <c r="D25" s="341"/>
      <c r="E25" s="341"/>
      <c r="F25" s="342"/>
      <c r="G25" s="340"/>
      <c r="H25" s="341"/>
      <c r="I25" s="341"/>
      <c r="J25" s="342"/>
      <c r="K25" s="364"/>
      <c r="L25" s="365"/>
      <c r="M25" s="38"/>
      <c r="N25" s="39"/>
      <c r="O25" s="40"/>
      <c r="P25" s="40"/>
      <c r="Q25" s="305"/>
      <c r="R25" s="306"/>
      <c r="S25" s="306"/>
      <c r="T25" s="306"/>
      <c r="U25" s="307"/>
      <c r="V25" s="41"/>
      <c r="W25" s="310"/>
      <c r="X25" s="310"/>
      <c r="Y25" s="310"/>
      <c r="Z25" s="310"/>
      <c r="AA25" s="310"/>
      <c r="AB25" s="310"/>
    </row>
    <row r="26" spans="1:28" s="2" customFormat="1">
      <c r="A26" s="14">
        <f t="shared" si="0"/>
        <v>22</v>
      </c>
      <c r="B26" s="359"/>
      <c r="C26" s="360"/>
      <c r="D26" s="360"/>
      <c r="E26" s="360"/>
      <c r="F26" s="361"/>
      <c r="G26" s="359"/>
      <c r="H26" s="360"/>
      <c r="I26" s="360"/>
      <c r="J26" s="361"/>
      <c r="K26" s="362"/>
      <c r="L26" s="363"/>
      <c r="M26" s="34"/>
      <c r="N26" s="35"/>
      <c r="O26" s="36"/>
      <c r="P26" s="36"/>
      <c r="Q26" s="285"/>
      <c r="R26" s="286"/>
      <c r="S26" s="286"/>
      <c r="T26" s="286"/>
      <c r="U26" s="287"/>
      <c r="V26" s="37"/>
      <c r="W26" s="288"/>
      <c r="X26" s="288"/>
      <c r="Y26" s="288"/>
      <c r="Z26" s="288"/>
      <c r="AA26" s="288"/>
      <c r="AB26" s="288"/>
    </row>
    <row r="27" spans="1:28" s="2" customFormat="1">
      <c r="A27" s="15">
        <f t="shared" si="0"/>
        <v>23</v>
      </c>
      <c r="B27" s="340"/>
      <c r="C27" s="341"/>
      <c r="D27" s="341"/>
      <c r="E27" s="341"/>
      <c r="F27" s="342"/>
      <c r="G27" s="340"/>
      <c r="H27" s="341"/>
      <c r="I27" s="341"/>
      <c r="J27" s="342"/>
      <c r="K27" s="364"/>
      <c r="L27" s="365"/>
      <c r="M27" s="38"/>
      <c r="N27" s="39"/>
      <c r="O27" s="40"/>
      <c r="P27" s="40"/>
      <c r="Q27" s="305"/>
      <c r="R27" s="306"/>
      <c r="S27" s="306"/>
      <c r="T27" s="306"/>
      <c r="U27" s="307"/>
      <c r="V27" s="41"/>
      <c r="W27" s="310"/>
      <c r="X27" s="310"/>
      <c r="Y27" s="310"/>
      <c r="Z27" s="310"/>
      <c r="AA27" s="310"/>
      <c r="AB27" s="310"/>
    </row>
    <row r="28" spans="1:28" s="2" customFormat="1">
      <c r="A28" s="14">
        <f t="shared" si="0"/>
        <v>24</v>
      </c>
      <c r="B28" s="359"/>
      <c r="C28" s="360"/>
      <c r="D28" s="360"/>
      <c r="E28" s="360"/>
      <c r="F28" s="361"/>
      <c r="G28" s="359"/>
      <c r="H28" s="360"/>
      <c r="I28" s="360"/>
      <c r="J28" s="361"/>
      <c r="K28" s="362"/>
      <c r="L28" s="363"/>
      <c r="M28" s="34"/>
      <c r="N28" s="35"/>
      <c r="O28" s="36"/>
      <c r="P28" s="36"/>
      <c r="Q28" s="285"/>
      <c r="R28" s="286"/>
      <c r="S28" s="286"/>
      <c r="T28" s="286"/>
      <c r="U28" s="287"/>
      <c r="V28" s="37"/>
      <c r="W28" s="288"/>
      <c r="X28" s="288"/>
      <c r="Y28" s="288"/>
      <c r="Z28" s="288"/>
      <c r="AA28" s="288"/>
      <c r="AB28" s="288"/>
    </row>
    <row r="29" spans="1:28" s="2" customFormat="1">
      <c r="A29" s="15">
        <f t="shared" si="0"/>
        <v>25</v>
      </c>
      <c r="B29" s="340"/>
      <c r="C29" s="341"/>
      <c r="D29" s="341"/>
      <c r="E29" s="341"/>
      <c r="F29" s="342"/>
      <c r="G29" s="340"/>
      <c r="H29" s="341"/>
      <c r="I29" s="341"/>
      <c r="J29" s="342"/>
      <c r="K29" s="364"/>
      <c r="L29" s="365"/>
      <c r="M29" s="38"/>
      <c r="N29" s="39"/>
      <c r="O29" s="40"/>
      <c r="P29" s="40"/>
      <c r="Q29" s="305"/>
      <c r="R29" s="306"/>
      <c r="S29" s="306"/>
      <c r="T29" s="306"/>
      <c r="U29" s="307"/>
      <c r="V29" s="41"/>
      <c r="W29" s="310"/>
      <c r="X29" s="310"/>
      <c r="Y29" s="310"/>
      <c r="Z29" s="310"/>
      <c r="AA29" s="310"/>
      <c r="AB29" s="310"/>
    </row>
    <row r="30" spans="1:28" s="2" customFormat="1">
      <c r="A30" s="14">
        <f t="shared" si="0"/>
        <v>26</v>
      </c>
      <c r="B30" s="359"/>
      <c r="C30" s="360"/>
      <c r="D30" s="360"/>
      <c r="E30" s="360"/>
      <c r="F30" s="361"/>
      <c r="G30" s="359"/>
      <c r="H30" s="360"/>
      <c r="I30" s="360"/>
      <c r="J30" s="361"/>
      <c r="K30" s="362"/>
      <c r="L30" s="363"/>
      <c r="M30" s="34"/>
      <c r="N30" s="35"/>
      <c r="O30" s="36"/>
      <c r="P30" s="36"/>
      <c r="Q30" s="285"/>
      <c r="R30" s="286"/>
      <c r="S30" s="286"/>
      <c r="T30" s="286"/>
      <c r="U30" s="287"/>
      <c r="V30" s="37"/>
      <c r="W30" s="288"/>
      <c r="X30" s="288"/>
      <c r="Y30" s="288"/>
      <c r="Z30" s="288"/>
      <c r="AA30" s="288"/>
      <c r="AB30" s="288"/>
    </row>
    <row r="31" spans="1:28">
      <c r="A31" s="4">
        <f t="shared" si="0"/>
        <v>27</v>
      </c>
      <c r="B31" s="340"/>
      <c r="C31" s="341"/>
      <c r="D31" s="341"/>
      <c r="E31" s="341"/>
      <c r="F31" s="342"/>
      <c r="G31" s="340"/>
      <c r="H31" s="341"/>
      <c r="I31" s="341"/>
      <c r="J31" s="342"/>
      <c r="K31" s="364"/>
      <c r="L31" s="365"/>
      <c r="M31" s="38"/>
      <c r="N31" s="39"/>
      <c r="O31" s="40"/>
      <c r="P31" s="40"/>
      <c r="Q31" s="305"/>
      <c r="R31" s="306"/>
      <c r="S31" s="306"/>
      <c r="T31" s="306"/>
      <c r="U31" s="307"/>
      <c r="V31" s="41"/>
      <c r="W31" s="310"/>
      <c r="X31" s="310"/>
      <c r="Y31" s="310"/>
      <c r="Z31" s="310"/>
      <c r="AA31" s="310"/>
      <c r="AB31" s="310"/>
    </row>
    <row r="32" spans="1:28">
      <c r="A32" s="8">
        <f t="shared" si="0"/>
        <v>28</v>
      </c>
      <c r="B32" s="359"/>
      <c r="C32" s="360"/>
      <c r="D32" s="360"/>
      <c r="E32" s="360"/>
      <c r="F32" s="361"/>
      <c r="G32" s="359"/>
      <c r="H32" s="360"/>
      <c r="I32" s="360"/>
      <c r="J32" s="361"/>
      <c r="K32" s="362"/>
      <c r="L32" s="363"/>
      <c r="M32" s="34"/>
      <c r="N32" s="35"/>
      <c r="O32" s="36"/>
      <c r="P32" s="36"/>
      <c r="Q32" s="285"/>
      <c r="R32" s="286"/>
      <c r="S32" s="286"/>
      <c r="T32" s="286"/>
      <c r="U32" s="287"/>
      <c r="V32" s="37"/>
      <c r="W32" s="288"/>
      <c r="X32" s="288"/>
      <c r="Y32" s="288"/>
      <c r="Z32" s="288"/>
      <c r="AA32" s="288"/>
      <c r="AB32" s="288"/>
    </row>
    <row r="33" spans="1:28">
      <c r="A33" s="15">
        <f t="shared" si="0"/>
        <v>29</v>
      </c>
      <c r="B33" s="340"/>
      <c r="C33" s="341"/>
      <c r="D33" s="341"/>
      <c r="E33" s="341"/>
      <c r="F33" s="342"/>
      <c r="G33" s="340"/>
      <c r="H33" s="341"/>
      <c r="I33" s="341"/>
      <c r="J33" s="342"/>
      <c r="K33" s="364"/>
      <c r="L33" s="365"/>
      <c r="M33" s="38"/>
      <c r="N33" s="39"/>
      <c r="O33" s="40"/>
      <c r="P33" s="40"/>
      <c r="Q33" s="305"/>
      <c r="R33" s="306"/>
      <c r="S33" s="306"/>
      <c r="T33" s="306"/>
      <c r="U33" s="307"/>
      <c r="V33" s="41"/>
      <c r="W33" s="310"/>
      <c r="X33" s="310"/>
      <c r="Y33" s="310"/>
      <c r="Z33" s="310"/>
      <c r="AA33" s="310"/>
      <c r="AB33" s="310"/>
    </row>
    <row r="34" spans="1:28" s="2" customFormat="1">
      <c r="A34" s="14">
        <f t="shared" si="0"/>
        <v>30</v>
      </c>
      <c r="B34" s="359"/>
      <c r="C34" s="360"/>
      <c r="D34" s="360"/>
      <c r="E34" s="360"/>
      <c r="F34" s="361"/>
      <c r="G34" s="359"/>
      <c r="H34" s="360"/>
      <c r="I34" s="360"/>
      <c r="J34" s="361"/>
      <c r="K34" s="362"/>
      <c r="L34" s="363"/>
      <c r="M34" s="34"/>
      <c r="N34" s="35"/>
      <c r="O34" s="36"/>
      <c r="P34" s="36"/>
      <c r="Q34" s="285"/>
      <c r="R34" s="286"/>
      <c r="S34" s="286"/>
      <c r="T34" s="286"/>
      <c r="U34" s="287"/>
      <c r="V34" s="37"/>
      <c r="W34" s="288"/>
      <c r="X34" s="288"/>
      <c r="Y34" s="288"/>
      <c r="Z34" s="288"/>
      <c r="AA34" s="288"/>
      <c r="AB34" s="288"/>
    </row>
    <row r="35" spans="1:28" s="2" customFormat="1">
      <c r="A35" s="15">
        <f t="shared" si="0"/>
        <v>31</v>
      </c>
      <c r="B35" s="340"/>
      <c r="C35" s="341"/>
      <c r="D35" s="341"/>
      <c r="E35" s="341"/>
      <c r="F35" s="342"/>
      <c r="G35" s="340"/>
      <c r="H35" s="341"/>
      <c r="I35" s="341"/>
      <c r="J35" s="342"/>
      <c r="K35" s="364"/>
      <c r="L35" s="365"/>
      <c r="M35" s="38"/>
      <c r="N35" s="39"/>
      <c r="O35" s="40"/>
      <c r="P35" s="40"/>
      <c r="Q35" s="305"/>
      <c r="R35" s="306"/>
      <c r="S35" s="306"/>
      <c r="T35" s="306"/>
      <c r="U35" s="307"/>
      <c r="V35" s="41"/>
      <c r="W35" s="310"/>
      <c r="X35" s="310"/>
      <c r="Y35" s="310"/>
      <c r="Z35" s="310"/>
      <c r="AA35" s="310"/>
      <c r="AB35" s="310"/>
    </row>
    <row r="36" spans="1:28" s="2" customFormat="1">
      <c r="A36" s="14">
        <f t="shared" si="0"/>
        <v>32</v>
      </c>
      <c r="B36" s="359"/>
      <c r="C36" s="360"/>
      <c r="D36" s="360"/>
      <c r="E36" s="360"/>
      <c r="F36" s="361"/>
      <c r="G36" s="359"/>
      <c r="H36" s="360"/>
      <c r="I36" s="360"/>
      <c r="J36" s="361"/>
      <c r="K36" s="362"/>
      <c r="L36" s="363"/>
      <c r="M36" s="34"/>
      <c r="N36" s="35"/>
      <c r="O36" s="36"/>
      <c r="P36" s="36"/>
      <c r="Q36" s="285"/>
      <c r="R36" s="286"/>
      <c r="S36" s="286"/>
      <c r="T36" s="286"/>
      <c r="U36" s="287"/>
      <c r="V36" s="37"/>
      <c r="W36" s="288"/>
      <c r="X36" s="288"/>
      <c r="Y36" s="288"/>
      <c r="Z36" s="288"/>
      <c r="AA36" s="288"/>
      <c r="AB36" s="288"/>
    </row>
    <row r="37" spans="1:28" s="2" customFormat="1">
      <c r="A37" s="15">
        <f t="shared" si="0"/>
        <v>33</v>
      </c>
      <c r="B37" s="340"/>
      <c r="C37" s="341"/>
      <c r="D37" s="341"/>
      <c r="E37" s="341"/>
      <c r="F37" s="342"/>
      <c r="G37" s="340"/>
      <c r="H37" s="341"/>
      <c r="I37" s="341"/>
      <c r="J37" s="342"/>
      <c r="K37" s="364"/>
      <c r="L37" s="365"/>
      <c r="M37" s="38"/>
      <c r="N37" s="39"/>
      <c r="O37" s="40"/>
      <c r="P37" s="40"/>
      <c r="Q37" s="305"/>
      <c r="R37" s="306"/>
      <c r="S37" s="306"/>
      <c r="T37" s="306"/>
      <c r="U37" s="307"/>
      <c r="V37" s="41"/>
      <c r="W37" s="310"/>
      <c r="X37" s="310"/>
      <c r="Y37" s="310"/>
      <c r="Z37" s="310"/>
      <c r="AA37" s="310"/>
      <c r="AB37" s="310"/>
    </row>
    <row r="38" spans="1:28" s="2" customFormat="1">
      <c r="A38" s="14">
        <f t="shared" si="0"/>
        <v>34</v>
      </c>
      <c r="B38" s="359"/>
      <c r="C38" s="360"/>
      <c r="D38" s="360"/>
      <c r="E38" s="360"/>
      <c r="F38" s="361"/>
      <c r="G38" s="359"/>
      <c r="H38" s="360"/>
      <c r="I38" s="360"/>
      <c r="J38" s="361"/>
      <c r="K38" s="362"/>
      <c r="L38" s="363"/>
      <c r="M38" s="34"/>
      <c r="N38" s="35"/>
      <c r="O38" s="36"/>
      <c r="P38" s="36"/>
      <c r="Q38" s="285"/>
      <c r="R38" s="286"/>
      <c r="S38" s="286"/>
      <c r="T38" s="286"/>
      <c r="U38" s="287"/>
      <c r="V38" s="37"/>
      <c r="W38" s="288"/>
      <c r="X38" s="288"/>
      <c r="Y38" s="288"/>
      <c r="Z38" s="288"/>
      <c r="AA38" s="288"/>
      <c r="AB38" s="288"/>
    </row>
    <row r="39" spans="1:28">
      <c r="A39" s="4">
        <f t="shared" si="0"/>
        <v>35</v>
      </c>
      <c r="B39" s="340"/>
      <c r="C39" s="341"/>
      <c r="D39" s="341"/>
      <c r="E39" s="341"/>
      <c r="F39" s="342"/>
      <c r="G39" s="340"/>
      <c r="H39" s="341"/>
      <c r="I39" s="341"/>
      <c r="J39" s="342"/>
      <c r="K39" s="364"/>
      <c r="L39" s="365"/>
      <c r="M39" s="38"/>
      <c r="N39" s="39"/>
      <c r="O39" s="40"/>
      <c r="P39" s="40"/>
      <c r="Q39" s="305"/>
      <c r="R39" s="306"/>
      <c r="S39" s="306"/>
      <c r="T39" s="306"/>
      <c r="U39" s="307"/>
      <c r="V39" s="41"/>
      <c r="W39" s="310"/>
      <c r="X39" s="310"/>
      <c r="Y39" s="310"/>
      <c r="Z39" s="310"/>
      <c r="AA39" s="310"/>
      <c r="AB39" s="310"/>
    </row>
    <row r="40" spans="1:28">
      <c r="A40" s="8">
        <f t="shared" si="0"/>
        <v>36</v>
      </c>
      <c r="B40" s="359"/>
      <c r="C40" s="360"/>
      <c r="D40" s="360"/>
      <c r="E40" s="360"/>
      <c r="F40" s="361"/>
      <c r="G40" s="359"/>
      <c r="H40" s="360"/>
      <c r="I40" s="360"/>
      <c r="J40" s="361"/>
      <c r="K40" s="362"/>
      <c r="L40" s="363"/>
      <c r="M40" s="34"/>
      <c r="N40" s="35"/>
      <c r="O40" s="36"/>
      <c r="P40" s="36"/>
      <c r="Q40" s="285"/>
      <c r="R40" s="286"/>
      <c r="S40" s="286"/>
      <c r="T40" s="286"/>
      <c r="U40" s="287"/>
      <c r="V40" s="37"/>
      <c r="W40" s="288"/>
      <c r="X40" s="288"/>
      <c r="Y40" s="288"/>
      <c r="Z40" s="288"/>
      <c r="AA40" s="288"/>
      <c r="AB40" s="288"/>
    </row>
    <row r="41" spans="1:28" s="2" customFormat="1">
      <c r="A41" s="15">
        <f t="shared" si="0"/>
        <v>37</v>
      </c>
      <c r="B41" s="340"/>
      <c r="C41" s="341"/>
      <c r="D41" s="341"/>
      <c r="E41" s="341"/>
      <c r="F41" s="342"/>
      <c r="G41" s="340"/>
      <c r="H41" s="341"/>
      <c r="I41" s="341"/>
      <c r="J41" s="342"/>
      <c r="K41" s="364"/>
      <c r="L41" s="365"/>
      <c r="M41" s="38"/>
      <c r="N41" s="39"/>
      <c r="O41" s="40"/>
      <c r="P41" s="40"/>
      <c r="Q41" s="305"/>
      <c r="R41" s="306"/>
      <c r="S41" s="306"/>
      <c r="T41" s="306"/>
      <c r="U41" s="307"/>
      <c r="V41" s="41"/>
      <c r="W41" s="310"/>
      <c r="X41" s="310"/>
      <c r="Y41" s="310"/>
      <c r="Z41" s="310"/>
      <c r="AA41" s="310"/>
      <c r="AB41" s="310"/>
    </row>
    <row r="42" spans="1:28" s="2" customFormat="1">
      <c r="A42" s="14">
        <f t="shared" si="0"/>
        <v>38</v>
      </c>
      <c r="B42" s="359"/>
      <c r="C42" s="360"/>
      <c r="D42" s="360"/>
      <c r="E42" s="360"/>
      <c r="F42" s="361"/>
      <c r="G42" s="359"/>
      <c r="H42" s="360"/>
      <c r="I42" s="360"/>
      <c r="J42" s="361"/>
      <c r="K42" s="362"/>
      <c r="L42" s="363"/>
      <c r="M42" s="34"/>
      <c r="N42" s="35"/>
      <c r="O42" s="36"/>
      <c r="P42" s="36"/>
      <c r="Q42" s="285"/>
      <c r="R42" s="286"/>
      <c r="S42" s="286"/>
      <c r="T42" s="286"/>
      <c r="U42" s="287"/>
      <c r="V42" s="37"/>
      <c r="W42" s="288"/>
      <c r="X42" s="288"/>
      <c r="Y42" s="288"/>
      <c r="Z42" s="288"/>
      <c r="AA42" s="288"/>
      <c r="AB42" s="288"/>
    </row>
    <row r="43" spans="1:28" s="2" customFormat="1">
      <c r="A43" s="15">
        <f t="shared" si="0"/>
        <v>39</v>
      </c>
      <c r="B43" s="340"/>
      <c r="C43" s="341"/>
      <c r="D43" s="341"/>
      <c r="E43" s="341"/>
      <c r="F43" s="342"/>
      <c r="G43" s="340"/>
      <c r="H43" s="341"/>
      <c r="I43" s="341"/>
      <c r="J43" s="342"/>
      <c r="K43" s="364"/>
      <c r="L43" s="365"/>
      <c r="M43" s="38"/>
      <c r="N43" s="39"/>
      <c r="O43" s="40"/>
      <c r="P43" s="40"/>
      <c r="Q43" s="305"/>
      <c r="R43" s="306"/>
      <c r="S43" s="306"/>
      <c r="T43" s="306"/>
      <c r="U43" s="307"/>
      <c r="V43" s="41"/>
      <c r="W43" s="310"/>
      <c r="X43" s="310"/>
      <c r="Y43" s="310"/>
      <c r="Z43" s="310"/>
      <c r="AA43" s="310"/>
      <c r="AB43" s="310"/>
    </row>
    <row r="44" spans="1:28" s="2" customFormat="1">
      <c r="A44" s="14">
        <f t="shared" si="0"/>
        <v>40</v>
      </c>
      <c r="B44" s="359"/>
      <c r="C44" s="360"/>
      <c r="D44" s="360"/>
      <c r="E44" s="360"/>
      <c r="F44" s="361"/>
      <c r="G44" s="359"/>
      <c r="H44" s="360"/>
      <c r="I44" s="360"/>
      <c r="J44" s="361"/>
      <c r="K44" s="362"/>
      <c r="L44" s="363"/>
      <c r="M44" s="34"/>
      <c r="N44" s="35"/>
      <c r="O44" s="36"/>
      <c r="P44" s="36"/>
      <c r="Q44" s="285"/>
      <c r="R44" s="286"/>
      <c r="S44" s="286"/>
      <c r="T44" s="286"/>
      <c r="U44" s="287"/>
      <c r="V44" s="37"/>
      <c r="W44" s="288"/>
      <c r="X44" s="288"/>
      <c r="Y44" s="288"/>
      <c r="Z44" s="288"/>
      <c r="AA44" s="288"/>
      <c r="AB44" s="288"/>
    </row>
    <row r="45" spans="1:28" s="2" customFormat="1">
      <c r="A45" s="15">
        <f t="shared" si="0"/>
        <v>41</v>
      </c>
      <c r="B45" s="340"/>
      <c r="C45" s="341"/>
      <c r="D45" s="341"/>
      <c r="E45" s="341"/>
      <c r="F45" s="342"/>
      <c r="G45" s="340"/>
      <c r="H45" s="341"/>
      <c r="I45" s="341"/>
      <c r="J45" s="342"/>
      <c r="K45" s="364"/>
      <c r="L45" s="365"/>
      <c r="M45" s="38"/>
      <c r="N45" s="39"/>
      <c r="O45" s="40"/>
      <c r="P45" s="40"/>
      <c r="Q45" s="305"/>
      <c r="R45" s="306"/>
      <c r="S45" s="306"/>
      <c r="T45" s="306"/>
      <c r="U45" s="307"/>
      <c r="V45" s="41"/>
      <c r="W45" s="310"/>
      <c r="X45" s="310"/>
      <c r="Y45" s="310"/>
      <c r="Z45" s="310"/>
      <c r="AA45" s="310"/>
      <c r="AB45" s="310"/>
    </row>
    <row r="46" spans="1:28" s="2" customFormat="1">
      <c r="A46" s="14">
        <f t="shared" si="0"/>
        <v>42</v>
      </c>
      <c r="B46" s="359"/>
      <c r="C46" s="360"/>
      <c r="D46" s="360"/>
      <c r="E46" s="360"/>
      <c r="F46" s="361"/>
      <c r="G46" s="359"/>
      <c r="H46" s="360"/>
      <c r="I46" s="360"/>
      <c r="J46" s="361"/>
      <c r="K46" s="362"/>
      <c r="L46" s="363"/>
      <c r="M46" s="34"/>
      <c r="N46" s="35"/>
      <c r="O46" s="36"/>
      <c r="P46" s="36"/>
      <c r="Q46" s="285"/>
      <c r="R46" s="286"/>
      <c r="S46" s="286"/>
      <c r="T46" s="286"/>
      <c r="U46" s="287"/>
      <c r="V46" s="37"/>
      <c r="W46" s="288"/>
      <c r="X46" s="288"/>
      <c r="Y46" s="288"/>
      <c r="Z46" s="288"/>
      <c r="AA46" s="288"/>
      <c r="AB46" s="288"/>
    </row>
    <row r="47" spans="1:28">
      <c r="A47" s="4">
        <f t="shared" si="0"/>
        <v>43</v>
      </c>
      <c r="B47" s="340"/>
      <c r="C47" s="341"/>
      <c r="D47" s="341"/>
      <c r="E47" s="341"/>
      <c r="F47" s="342"/>
      <c r="G47" s="340"/>
      <c r="H47" s="341"/>
      <c r="I47" s="341"/>
      <c r="J47" s="342"/>
      <c r="K47" s="364"/>
      <c r="L47" s="365"/>
      <c r="M47" s="38"/>
      <c r="N47" s="39"/>
      <c r="O47" s="40"/>
      <c r="P47" s="40"/>
      <c r="Q47" s="305"/>
      <c r="R47" s="306"/>
      <c r="S47" s="306"/>
      <c r="T47" s="306"/>
      <c r="U47" s="307"/>
      <c r="V47" s="41"/>
      <c r="W47" s="310"/>
      <c r="X47" s="310"/>
      <c r="Y47" s="310"/>
      <c r="Z47" s="310"/>
      <c r="AA47" s="310"/>
      <c r="AB47" s="310"/>
    </row>
    <row r="48" spans="1:28">
      <c r="A48" s="8">
        <f t="shared" si="0"/>
        <v>44</v>
      </c>
      <c r="B48" s="359"/>
      <c r="C48" s="360"/>
      <c r="D48" s="360"/>
      <c r="E48" s="360"/>
      <c r="F48" s="361"/>
      <c r="G48" s="359"/>
      <c r="H48" s="360"/>
      <c r="I48" s="360"/>
      <c r="J48" s="361"/>
      <c r="K48" s="362"/>
      <c r="L48" s="363"/>
      <c r="M48" s="34"/>
      <c r="N48" s="35"/>
      <c r="O48" s="36"/>
      <c r="P48" s="36"/>
      <c r="Q48" s="285"/>
      <c r="R48" s="286"/>
      <c r="S48" s="286"/>
      <c r="T48" s="286"/>
      <c r="U48" s="287"/>
      <c r="V48" s="37"/>
      <c r="W48" s="288"/>
      <c r="X48" s="288"/>
      <c r="Y48" s="288"/>
      <c r="Z48" s="288"/>
      <c r="AA48" s="288"/>
      <c r="AB48" s="288"/>
    </row>
    <row r="49" spans="1:28">
      <c r="A49" s="15">
        <f t="shared" si="0"/>
        <v>45</v>
      </c>
      <c r="B49" s="340"/>
      <c r="C49" s="341"/>
      <c r="D49" s="341"/>
      <c r="E49" s="341"/>
      <c r="F49" s="342"/>
      <c r="G49" s="340"/>
      <c r="H49" s="341"/>
      <c r="I49" s="341"/>
      <c r="J49" s="342"/>
      <c r="K49" s="364"/>
      <c r="L49" s="365"/>
      <c r="M49" s="38"/>
      <c r="N49" s="39"/>
      <c r="O49" s="40"/>
      <c r="P49" s="40"/>
      <c r="Q49" s="305"/>
      <c r="R49" s="306"/>
      <c r="S49" s="306"/>
      <c r="T49" s="306"/>
      <c r="U49" s="307"/>
      <c r="V49" s="41"/>
      <c r="W49" s="310"/>
      <c r="X49" s="310"/>
      <c r="Y49" s="310"/>
      <c r="Z49" s="310"/>
      <c r="AA49" s="310"/>
      <c r="AB49" s="310"/>
    </row>
    <row r="50" spans="1:28" s="2" customFormat="1">
      <c r="A50" s="14">
        <f t="shared" si="0"/>
        <v>46</v>
      </c>
      <c r="B50" s="359"/>
      <c r="C50" s="360"/>
      <c r="D50" s="360"/>
      <c r="E50" s="360"/>
      <c r="F50" s="361"/>
      <c r="G50" s="359"/>
      <c r="H50" s="360"/>
      <c r="I50" s="360"/>
      <c r="J50" s="361"/>
      <c r="K50" s="362"/>
      <c r="L50" s="363"/>
      <c r="M50" s="34"/>
      <c r="N50" s="35"/>
      <c r="O50" s="36"/>
      <c r="P50" s="36"/>
      <c r="Q50" s="285"/>
      <c r="R50" s="286"/>
      <c r="S50" s="286"/>
      <c r="T50" s="286"/>
      <c r="U50" s="287"/>
      <c r="V50" s="37"/>
      <c r="W50" s="288"/>
      <c r="X50" s="288"/>
      <c r="Y50" s="288"/>
      <c r="Z50" s="288"/>
      <c r="AA50" s="288"/>
      <c r="AB50" s="288"/>
    </row>
    <row r="51" spans="1:28" s="2" customFormat="1">
      <c r="A51" s="15">
        <f t="shared" si="0"/>
        <v>47</v>
      </c>
      <c r="B51" s="340"/>
      <c r="C51" s="341"/>
      <c r="D51" s="341"/>
      <c r="E51" s="341"/>
      <c r="F51" s="342"/>
      <c r="G51" s="340"/>
      <c r="H51" s="341"/>
      <c r="I51" s="341"/>
      <c r="J51" s="342"/>
      <c r="K51" s="364"/>
      <c r="L51" s="365"/>
      <c r="M51" s="38"/>
      <c r="N51" s="39"/>
      <c r="O51" s="40"/>
      <c r="P51" s="40"/>
      <c r="Q51" s="305"/>
      <c r="R51" s="306"/>
      <c r="S51" s="306"/>
      <c r="T51" s="306"/>
      <c r="U51" s="307"/>
      <c r="V51" s="41"/>
      <c r="W51" s="310"/>
      <c r="X51" s="310"/>
      <c r="Y51" s="310"/>
      <c r="Z51" s="310"/>
      <c r="AA51" s="310"/>
      <c r="AB51" s="310"/>
    </row>
    <row r="52" spans="1:28" s="2" customFormat="1">
      <c r="A52" s="14">
        <f t="shared" si="0"/>
        <v>48</v>
      </c>
      <c r="B52" s="359"/>
      <c r="C52" s="360"/>
      <c r="D52" s="360"/>
      <c r="E52" s="360"/>
      <c r="F52" s="361"/>
      <c r="G52" s="359"/>
      <c r="H52" s="360"/>
      <c r="I52" s="360"/>
      <c r="J52" s="361"/>
      <c r="K52" s="362"/>
      <c r="L52" s="363"/>
      <c r="M52" s="34"/>
      <c r="N52" s="35"/>
      <c r="O52" s="36"/>
      <c r="P52" s="36"/>
      <c r="Q52" s="285"/>
      <c r="R52" s="286"/>
      <c r="S52" s="286"/>
      <c r="T52" s="286"/>
      <c r="U52" s="287"/>
      <c r="V52" s="37"/>
      <c r="W52" s="288"/>
      <c r="X52" s="288"/>
      <c r="Y52" s="288"/>
      <c r="Z52" s="288"/>
      <c r="AA52" s="288"/>
      <c r="AB52" s="288"/>
    </row>
    <row r="53" spans="1:28" s="2" customFormat="1">
      <c r="A53" s="15">
        <f t="shared" si="0"/>
        <v>49</v>
      </c>
      <c r="B53" s="340"/>
      <c r="C53" s="341"/>
      <c r="D53" s="341"/>
      <c r="E53" s="341"/>
      <c r="F53" s="342"/>
      <c r="G53" s="340"/>
      <c r="H53" s="341"/>
      <c r="I53" s="341"/>
      <c r="J53" s="342"/>
      <c r="K53" s="364"/>
      <c r="L53" s="365"/>
      <c r="M53" s="38"/>
      <c r="N53" s="39"/>
      <c r="O53" s="40"/>
      <c r="P53" s="40"/>
      <c r="Q53" s="305"/>
      <c r="R53" s="306"/>
      <c r="S53" s="306"/>
      <c r="T53" s="306"/>
      <c r="U53" s="307"/>
      <c r="V53" s="41"/>
      <c r="W53" s="310"/>
      <c r="X53" s="310"/>
      <c r="Y53" s="310"/>
      <c r="Z53" s="310"/>
      <c r="AA53" s="310"/>
      <c r="AB53" s="310"/>
    </row>
    <row r="54" spans="1:28" s="2" customFormat="1">
      <c r="A54" s="14">
        <f t="shared" si="0"/>
        <v>50</v>
      </c>
      <c r="B54" s="359"/>
      <c r="C54" s="360"/>
      <c r="D54" s="360"/>
      <c r="E54" s="360"/>
      <c r="F54" s="361"/>
      <c r="G54" s="359"/>
      <c r="H54" s="360"/>
      <c r="I54" s="360"/>
      <c r="J54" s="361"/>
      <c r="K54" s="362"/>
      <c r="L54" s="363"/>
      <c r="M54" s="34"/>
      <c r="N54" s="35"/>
      <c r="O54" s="36"/>
      <c r="P54" s="36"/>
      <c r="Q54" s="285"/>
      <c r="R54" s="286"/>
      <c r="S54" s="286"/>
      <c r="T54" s="286"/>
      <c r="U54" s="287"/>
      <c r="V54" s="37"/>
      <c r="W54" s="288"/>
      <c r="X54" s="288"/>
      <c r="Y54" s="288"/>
      <c r="Z54" s="288"/>
      <c r="AA54" s="288"/>
      <c r="AB54" s="288"/>
    </row>
    <row r="55" spans="1:28">
      <c r="A55" s="4">
        <f t="shared" si="0"/>
        <v>51</v>
      </c>
      <c r="B55" s="340"/>
      <c r="C55" s="341"/>
      <c r="D55" s="341"/>
      <c r="E55" s="341"/>
      <c r="F55" s="342"/>
      <c r="G55" s="340"/>
      <c r="H55" s="341"/>
      <c r="I55" s="341"/>
      <c r="J55" s="342"/>
      <c r="K55" s="364"/>
      <c r="L55" s="365"/>
      <c r="M55" s="38"/>
      <c r="N55" s="39"/>
      <c r="O55" s="40"/>
      <c r="P55" s="40"/>
      <c r="Q55" s="305"/>
      <c r="R55" s="306"/>
      <c r="S55" s="306"/>
      <c r="T55" s="306"/>
      <c r="U55" s="307"/>
      <c r="V55" s="41"/>
      <c r="W55" s="310"/>
      <c r="X55" s="310"/>
      <c r="Y55" s="310"/>
      <c r="Z55" s="310"/>
      <c r="AA55" s="310"/>
      <c r="AB55" s="310"/>
    </row>
    <row r="56" spans="1:28">
      <c r="A56" s="8">
        <f t="shared" si="0"/>
        <v>52</v>
      </c>
      <c r="B56" s="359"/>
      <c r="C56" s="360"/>
      <c r="D56" s="360"/>
      <c r="E56" s="360"/>
      <c r="F56" s="361"/>
      <c r="G56" s="359"/>
      <c r="H56" s="360"/>
      <c r="I56" s="360"/>
      <c r="J56" s="361"/>
      <c r="K56" s="362"/>
      <c r="L56" s="363"/>
      <c r="M56" s="34"/>
      <c r="N56" s="35"/>
      <c r="O56" s="36"/>
      <c r="P56" s="36"/>
      <c r="Q56" s="285"/>
      <c r="R56" s="286"/>
      <c r="S56" s="286"/>
      <c r="T56" s="286"/>
      <c r="U56" s="287"/>
      <c r="V56" s="37"/>
      <c r="W56" s="288"/>
      <c r="X56" s="288"/>
      <c r="Y56" s="288"/>
      <c r="Z56" s="288"/>
      <c r="AA56" s="288"/>
      <c r="AB56" s="288"/>
    </row>
    <row r="57" spans="1:28" s="2" customFormat="1">
      <c r="A57" s="15">
        <f t="shared" si="0"/>
        <v>53</v>
      </c>
      <c r="B57" s="340"/>
      <c r="C57" s="341"/>
      <c r="D57" s="341"/>
      <c r="E57" s="341"/>
      <c r="F57" s="342"/>
      <c r="G57" s="340"/>
      <c r="H57" s="341"/>
      <c r="I57" s="341"/>
      <c r="J57" s="342"/>
      <c r="K57" s="364"/>
      <c r="L57" s="365"/>
      <c r="M57" s="38"/>
      <c r="N57" s="39"/>
      <c r="O57" s="40"/>
      <c r="P57" s="40"/>
      <c r="Q57" s="305"/>
      <c r="R57" s="306"/>
      <c r="S57" s="306"/>
      <c r="T57" s="306"/>
      <c r="U57" s="307"/>
      <c r="V57" s="41"/>
      <c r="W57" s="310"/>
      <c r="X57" s="310"/>
      <c r="Y57" s="310"/>
      <c r="Z57" s="310"/>
      <c r="AA57" s="310"/>
      <c r="AB57" s="310"/>
    </row>
    <row r="58" spans="1:28" s="2" customFormat="1">
      <c r="A58" s="14">
        <f t="shared" si="0"/>
        <v>54</v>
      </c>
      <c r="B58" s="359"/>
      <c r="C58" s="360"/>
      <c r="D58" s="360"/>
      <c r="E58" s="360"/>
      <c r="F58" s="361"/>
      <c r="G58" s="359"/>
      <c r="H58" s="360"/>
      <c r="I58" s="360"/>
      <c r="J58" s="361"/>
      <c r="K58" s="362"/>
      <c r="L58" s="363"/>
      <c r="M58" s="34"/>
      <c r="N58" s="35"/>
      <c r="O58" s="36"/>
      <c r="P58" s="36"/>
      <c r="Q58" s="285"/>
      <c r="R58" s="286"/>
      <c r="S58" s="286"/>
      <c r="T58" s="286"/>
      <c r="U58" s="287"/>
      <c r="V58" s="37"/>
      <c r="W58" s="288"/>
      <c r="X58" s="288"/>
      <c r="Y58" s="288"/>
      <c r="Z58" s="288"/>
      <c r="AA58" s="288"/>
      <c r="AB58" s="288"/>
    </row>
    <row r="59" spans="1:28" s="2" customFormat="1">
      <c r="A59" s="15">
        <f t="shared" si="0"/>
        <v>55</v>
      </c>
      <c r="B59" s="340"/>
      <c r="C59" s="341"/>
      <c r="D59" s="341"/>
      <c r="E59" s="341"/>
      <c r="F59" s="342"/>
      <c r="G59" s="340"/>
      <c r="H59" s="341"/>
      <c r="I59" s="341"/>
      <c r="J59" s="342"/>
      <c r="K59" s="364"/>
      <c r="L59" s="365"/>
      <c r="M59" s="38"/>
      <c r="N59" s="39"/>
      <c r="O59" s="40"/>
      <c r="P59" s="40"/>
      <c r="Q59" s="305"/>
      <c r="R59" s="306"/>
      <c r="S59" s="306"/>
      <c r="T59" s="306"/>
      <c r="U59" s="307"/>
      <c r="V59" s="41"/>
      <c r="W59" s="310"/>
      <c r="X59" s="310"/>
      <c r="Y59" s="310"/>
      <c r="Z59" s="310"/>
      <c r="AA59" s="310"/>
      <c r="AB59" s="310"/>
    </row>
    <row r="60" spans="1:28" s="2" customFormat="1">
      <c r="A60" s="14">
        <f t="shared" si="0"/>
        <v>56</v>
      </c>
      <c r="B60" s="359"/>
      <c r="C60" s="360"/>
      <c r="D60" s="360"/>
      <c r="E60" s="360"/>
      <c r="F60" s="361"/>
      <c r="G60" s="359"/>
      <c r="H60" s="360"/>
      <c r="I60" s="360"/>
      <c r="J60" s="361"/>
      <c r="K60" s="362"/>
      <c r="L60" s="363"/>
      <c r="M60" s="34"/>
      <c r="N60" s="35"/>
      <c r="O60" s="36"/>
      <c r="P60" s="36"/>
      <c r="Q60" s="285"/>
      <c r="R60" s="286"/>
      <c r="S60" s="286"/>
      <c r="T60" s="286"/>
      <c r="U60" s="287"/>
      <c r="V60" s="37"/>
      <c r="W60" s="288"/>
      <c r="X60" s="288"/>
      <c r="Y60" s="288"/>
      <c r="Z60" s="288"/>
      <c r="AA60" s="288"/>
      <c r="AB60" s="288"/>
    </row>
    <row r="61" spans="1:28" s="2" customFormat="1">
      <c r="A61" s="15">
        <f t="shared" si="0"/>
        <v>57</v>
      </c>
      <c r="B61" s="340"/>
      <c r="C61" s="341"/>
      <c r="D61" s="341"/>
      <c r="E61" s="341"/>
      <c r="F61" s="342"/>
      <c r="G61" s="340"/>
      <c r="H61" s="341"/>
      <c r="I61" s="341"/>
      <c r="J61" s="342"/>
      <c r="K61" s="364"/>
      <c r="L61" s="365"/>
      <c r="M61" s="38"/>
      <c r="N61" s="39"/>
      <c r="O61" s="40"/>
      <c r="P61" s="40"/>
      <c r="Q61" s="305"/>
      <c r="R61" s="306"/>
      <c r="S61" s="306"/>
      <c r="T61" s="306"/>
      <c r="U61" s="307"/>
      <c r="V61" s="41"/>
      <c r="W61" s="310"/>
      <c r="X61" s="310"/>
      <c r="Y61" s="310"/>
      <c r="Z61" s="310"/>
      <c r="AA61" s="310"/>
      <c r="AB61" s="310"/>
    </row>
    <row r="62" spans="1:28" s="2" customFormat="1">
      <c r="A62" s="14">
        <f t="shared" si="0"/>
        <v>58</v>
      </c>
      <c r="B62" s="359"/>
      <c r="C62" s="360"/>
      <c r="D62" s="360"/>
      <c r="E62" s="360"/>
      <c r="F62" s="361"/>
      <c r="G62" s="359"/>
      <c r="H62" s="360"/>
      <c r="I62" s="360"/>
      <c r="J62" s="361"/>
      <c r="K62" s="362"/>
      <c r="L62" s="363"/>
      <c r="M62" s="34"/>
      <c r="N62" s="35"/>
      <c r="O62" s="36"/>
      <c r="P62" s="36"/>
      <c r="Q62" s="285"/>
      <c r="R62" s="286"/>
      <c r="S62" s="286"/>
      <c r="T62" s="286"/>
      <c r="U62" s="287"/>
      <c r="V62" s="37"/>
      <c r="W62" s="288"/>
      <c r="X62" s="288"/>
      <c r="Y62" s="288"/>
      <c r="Z62" s="288"/>
      <c r="AA62" s="288"/>
      <c r="AB62" s="288"/>
    </row>
    <row r="63" spans="1:28">
      <c r="A63" s="4">
        <f t="shared" si="0"/>
        <v>59</v>
      </c>
      <c r="B63" s="340"/>
      <c r="C63" s="341"/>
      <c r="D63" s="341"/>
      <c r="E63" s="341"/>
      <c r="F63" s="342"/>
      <c r="G63" s="340"/>
      <c r="H63" s="341"/>
      <c r="I63" s="341"/>
      <c r="J63" s="342"/>
      <c r="K63" s="364"/>
      <c r="L63" s="365"/>
      <c r="M63" s="38"/>
      <c r="N63" s="39"/>
      <c r="O63" s="40"/>
      <c r="P63" s="40"/>
      <c r="Q63" s="305"/>
      <c r="R63" s="306"/>
      <c r="S63" s="306"/>
      <c r="T63" s="306"/>
      <c r="U63" s="307"/>
      <c r="V63" s="41"/>
      <c r="W63" s="310"/>
      <c r="X63" s="310"/>
      <c r="Y63" s="310"/>
      <c r="Z63" s="310"/>
      <c r="AA63" s="310"/>
      <c r="AB63" s="310"/>
    </row>
    <row r="64" spans="1:28">
      <c r="A64" s="8">
        <f t="shared" si="0"/>
        <v>60</v>
      </c>
      <c r="B64" s="359"/>
      <c r="C64" s="360"/>
      <c r="D64" s="360"/>
      <c r="E64" s="360"/>
      <c r="F64" s="361"/>
      <c r="G64" s="359"/>
      <c r="H64" s="360"/>
      <c r="I64" s="360"/>
      <c r="J64" s="361"/>
      <c r="K64" s="362"/>
      <c r="L64" s="363"/>
      <c r="M64" s="34"/>
      <c r="N64" s="35"/>
      <c r="O64" s="36"/>
      <c r="P64" s="36"/>
      <c r="Q64" s="285"/>
      <c r="R64" s="286"/>
      <c r="S64" s="286"/>
      <c r="T64" s="286"/>
      <c r="U64" s="287"/>
      <c r="V64" s="37"/>
      <c r="W64" s="288"/>
      <c r="X64" s="288"/>
      <c r="Y64" s="288"/>
      <c r="Z64" s="288"/>
      <c r="AA64" s="288"/>
      <c r="AB64" s="288"/>
    </row>
    <row r="65" spans="1:28">
      <c r="A65" s="15">
        <f t="shared" si="0"/>
        <v>61</v>
      </c>
      <c r="B65" s="340"/>
      <c r="C65" s="341"/>
      <c r="D65" s="341"/>
      <c r="E65" s="341"/>
      <c r="F65" s="342"/>
      <c r="G65" s="340"/>
      <c r="H65" s="341"/>
      <c r="I65" s="341"/>
      <c r="J65" s="342"/>
      <c r="K65" s="364"/>
      <c r="L65" s="365"/>
      <c r="M65" s="38"/>
      <c r="N65" s="39"/>
      <c r="O65" s="40"/>
      <c r="P65" s="40"/>
      <c r="Q65" s="305"/>
      <c r="R65" s="306"/>
      <c r="S65" s="306"/>
      <c r="T65" s="306"/>
      <c r="U65" s="307"/>
      <c r="V65" s="41"/>
      <c r="W65" s="310"/>
      <c r="X65" s="310"/>
      <c r="Y65" s="310"/>
      <c r="Z65" s="310"/>
      <c r="AA65" s="310"/>
      <c r="AB65" s="310"/>
    </row>
    <row r="66" spans="1:28" s="2" customFormat="1">
      <c r="A66" s="14">
        <f t="shared" si="0"/>
        <v>62</v>
      </c>
      <c r="B66" s="359"/>
      <c r="C66" s="360"/>
      <c r="D66" s="360"/>
      <c r="E66" s="360"/>
      <c r="F66" s="361"/>
      <c r="G66" s="359"/>
      <c r="H66" s="360"/>
      <c r="I66" s="360"/>
      <c r="J66" s="361"/>
      <c r="K66" s="362"/>
      <c r="L66" s="363"/>
      <c r="M66" s="34"/>
      <c r="N66" s="35"/>
      <c r="O66" s="36"/>
      <c r="P66" s="36"/>
      <c r="Q66" s="285"/>
      <c r="R66" s="286"/>
      <c r="S66" s="286"/>
      <c r="T66" s="286"/>
      <c r="U66" s="287"/>
      <c r="V66" s="37"/>
      <c r="W66" s="288"/>
      <c r="X66" s="288"/>
      <c r="Y66" s="288"/>
      <c r="Z66" s="288"/>
      <c r="AA66" s="288"/>
      <c r="AB66" s="288"/>
    </row>
    <row r="67" spans="1:28" s="2" customFormat="1">
      <c r="A67" s="15">
        <f t="shared" si="0"/>
        <v>63</v>
      </c>
      <c r="B67" s="340"/>
      <c r="C67" s="341"/>
      <c r="D67" s="341"/>
      <c r="E67" s="341"/>
      <c r="F67" s="342"/>
      <c r="G67" s="340"/>
      <c r="H67" s="341"/>
      <c r="I67" s="341"/>
      <c r="J67" s="342"/>
      <c r="K67" s="364"/>
      <c r="L67" s="365"/>
      <c r="M67" s="38"/>
      <c r="N67" s="39"/>
      <c r="O67" s="40"/>
      <c r="P67" s="40"/>
      <c r="Q67" s="305"/>
      <c r="R67" s="306"/>
      <c r="S67" s="306"/>
      <c r="T67" s="306"/>
      <c r="U67" s="307"/>
      <c r="V67" s="41"/>
      <c r="W67" s="310"/>
      <c r="X67" s="310"/>
      <c r="Y67" s="310"/>
      <c r="Z67" s="310"/>
      <c r="AA67" s="310"/>
      <c r="AB67" s="310"/>
    </row>
    <row r="68" spans="1:28" s="2" customFormat="1">
      <c r="A68" s="14">
        <f t="shared" si="0"/>
        <v>64</v>
      </c>
      <c r="B68" s="359"/>
      <c r="C68" s="360"/>
      <c r="D68" s="360"/>
      <c r="E68" s="360"/>
      <c r="F68" s="361"/>
      <c r="G68" s="359"/>
      <c r="H68" s="360"/>
      <c r="I68" s="360"/>
      <c r="J68" s="361"/>
      <c r="K68" s="362"/>
      <c r="L68" s="363"/>
      <c r="M68" s="34"/>
      <c r="N68" s="35"/>
      <c r="O68" s="36"/>
      <c r="P68" s="36"/>
      <c r="Q68" s="285"/>
      <c r="R68" s="286"/>
      <c r="S68" s="286"/>
      <c r="T68" s="286"/>
      <c r="U68" s="287"/>
      <c r="V68" s="37"/>
      <c r="W68" s="288"/>
      <c r="X68" s="288"/>
      <c r="Y68" s="288"/>
      <c r="Z68" s="288"/>
      <c r="AA68" s="288"/>
      <c r="AB68" s="288"/>
    </row>
    <row r="69" spans="1:28" s="2" customFormat="1">
      <c r="A69" s="15">
        <f t="shared" si="0"/>
        <v>65</v>
      </c>
      <c r="B69" s="340"/>
      <c r="C69" s="341"/>
      <c r="D69" s="341"/>
      <c r="E69" s="341"/>
      <c r="F69" s="342"/>
      <c r="G69" s="340"/>
      <c r="H69" s="341"/>
      <c r="I69" s="341"/>
      <c r="J69" s="342"/>
      <c r="K69" s="364"/>
      <c r="L69" s="365"/>
      <c r="M69" s="38"/>
      <c r="N69" s="39"/>
      <c r="O69" s="40"/>
      <c r="P69" s="40"/>
      <c r="Q69" s="305"/>
      <c r="R69" s="306"/>
      <c r="S69" s="306"/>
      <c r="T69" s="306"/>
      <c r="U69" s="307"/>
      <c r="V69" s="41"/>
      <c r="W69" s="310"/>
      <c r="X69" s="310"/>
      <c r="Y69" s="310"/>
      <c r="Z69" s="310"/>
      <c r="AA69" s="310"/>
      <c r="AB69" s="310"/>
    </row>
    <row r="70" spans="1:28" s="2" customFormat="1">
      <c r="A70" s="14">
        <f t="shared" si="0"/>
        <v>66</v>
      </c>
      <c r="B70" s="359"/>
      <c r="C70" s="360"/>
      <c r="D70" s="360"/>
      <c r="E70" s="360"/>
      <c r="F70" s="361"/>
      <c r="G70" s="359"/>
      <c r="H70" s="360"/>
      <c r="I70" s="360"/>
      <c r="J70" s="361"/>
      <c r="K70" s="362"/>
      <c r="L70" s="363"/>
      <c r="M70" s="34"/>
      <c r="N70" s="35"/>
      <c r="O70" s="36"/>
      <c r="P70" s="36"/>
      <c r="Q70" s="285"/>
      <c r="R70" s="286"/>
      <c r="S70" s="286"/>
      <c r="T70" s="286"/>
      <c r="U70" s="287"/>
      <c r="V70" s="37"/>
      <c r="W70" s="288"/>
      <c r="X70" s="288"/>
      <c r="Y70" s="288"/>
      <c r="Z70" s="288"/>
      <c r="AA70" s="288"/>
      <c r="AB70" s="288"/>
    </row>
    <row r="71" spans="1:28">
      <c r="A71" s="4">
        <f t="shared" ref="A71:A81" si="1">ROW()-4</f>
        <v>67</v>
      </c>
      <c r="B71" s="340"/>
      <c r="C71" s="341"/>
      <c r="D71" s="341"/>
      <c r="E71" s="341"/>
      <c r="F71" s="342"/>
      <c r="G71" s="340"/>
      <c r="H71" s="341"/>
      <c r="I71" s="341"/>
      <c r="J71" s="342"/>
      <c r="K71" s="364"/>
      <c r="L71" s="365"/>
      <c r="M71" s="38"/>
      <c r="N71" s="39"/>
      <c r="O71" s="40"/>
      <c r="P71" s="40"/>
      <c r="Q71" s="305"/>
      <c r="R71" s="306"/>
      <c r="S71" s="306"/>
      <c r="T71" s="306"/>
      <c r="U71" s="307"/>
      <c r="V71" s="41"/>
      <c r="W71" s="310"/>
      <c r="X71" s="310"/>
      <c r="Y71" s="310"/>
      <c r="Z71" s="310"/>
      <c r="AA71" s="310"/>
      <c r="AB71" s="310"/>
    </row>
    <row r="72" spans="1:28">
      <c r="A72" s="8">
        <f t="shared" si="1"/>
        <v>68</v>
      </c>
      <c r="B72" s="359"/>
      <c r="C72" s="360"/>
      <c r="D72" s="360"/>
      <c r="E72" s="360"/>
      <c r="F72" s="361"/>
      <c r="G72" s="359"/>
      <c r="H72" s="360"/>
      <c r="I72" s="360"/>
      <c r="J72" s="361"/>
      <c r="K72" s="362"/>
      <c r="L72" s="363"/>
      <c r="M72" s="34"/>
      <c r="N72" s="35"/>
      <c r="O72" s="36"/>
      <c r="P72" s="36"/>
      <c r="Q72" s="285"/>
      <c r="R72" s="286"/>
      <c r="S72" s="286"/>
      <c r="T72" s="286"/>
      <c r="U72" s="287"/>
      <c r="V72" s="37"/>
      <c r="W72" s="288"/>
      <c r="X72" s="288"/>
      <c r="Y72" s="288"/>
      <c r="Z72" s="288"/>
      <c r="AA72" s="288"/>
      <c r="AB72" s="288"/>
    </row>
    <row r="73" spans="1:28" s="2" customFormat="1">
      <c r="A73" s="15">
        <f t="shared" si="1"/>
        <v>69</v>
      </c>
      <c r="B73" s="340"/>
      <c r="C73" s="341"/>
      <c r="D73" s="341"/>
      <c r="E73" s="341"/>
      <c r="F73" s="342"/>
      <c r="G73" s="340"/>
      <c r="H73" s="341"/>
      <c r="I73" s="341"/>
      <c r="J73" s="342"/>
      <c r="K73" s="364"/>
      <c r="L73" s="365"/>
      <c r="M73" s="38"/>
      <c r="N73" s="39"/>
      <c r="O73" s="40"/>
      <c r="P73" s="40"/>
      <c r="Q73" s="305"/>
      <c r="R73" s="306"/>
      <c r="S73" s="306"/>
      <c r="T73" s="306"/>
      <c r="U73" s="307"/>
      <c r="V73" s="41"/>
      <c r="W73" s="310"/>
      <c r="X73" s="310"/>
      <c r="Y73" s="310"/>
      <c r="Z73" s="310"/>
      <c r="AA73" s="310"/>
      <c r="AB73" s="310"/>
    </row>
    <row r="74" spans="1:28" s="2" customFormat="1">
      <c r="A74" s="14">
        <f t="shared" si="1"/>
        <v>70</v>
      </c>
      <c r="B74" s="359"/>
      <c r="C74" s="360"/>
      <c r="D74" s="360"/>
      <c r="E74" s="360"/>
      <c r="F74" s="361"/>
      <c r="G74" s="359"/>
      <c r="H74" s="360"/>
      <c r="I74" s="360"/>
      <c r="J74" s="361"/>
      <c r="K74" s="362"/>
      <c r="L74" s="363"/>
      <c r="M74" s="34"/>
      <c r="N74" s="35"/>
      <c r="O74" s="36"/>
      <c r="P74" s="36"/>
      <c r="Q74" s="285"/>
      <c r="R74" s="286"/>
      <c r="S74" s="286"/>
      <c r="T74" s="286"/>
      <c r="U74" s="287"/>
      <c r="V74" s="37"/>
      <c r="W74" s="288"/>
      <c r="X74" s="288"/>
      <c r="Y74" s="288"/>
      <c r="Z74" s="288"/>
      <c r="AA74" s="288"/>
      <c r="AB74" s="288"/>
    </row>
    <row r="75" spans="1:28" s="2" customFormat="1">
      <c r="A75" s="15">
        <f t="shared" si="1"/>
        <v>71</v>
      </c>
      <c r="B75" s="340"/>
      <c r="C75" s="341"/>
      <c r="D75" s="341"/>
      <c r="E75" s="341"/>
      <c r="F75" s="342"/>
      <c r="G75" s="340"/>
      <c r="H75" s="341"/>
      <c r="I75" s="341"/>
      <c r="J75" s="342"/>
      <c r="K75" s="364"/>
      <c r="L75" s="365"/>
      <c r="M75" s="38"/>
      <c r="N75" s="39"/>
      <c r="O75" s="40"/>
      <c r="P75" s="40"/>
      <c r="Q75" s="305"/>
      <c r="R75" s="306"/>
      <c r="S75" s="306"/>
      <c r="T75" s="306"/>
      <c r="U75" s="307"/>
      <c r="V75" s="41"/>
      <c r="W75" s="310"/>
      <c r="X75" s="310"/>
      <c r="Y75" s="310"/>
      <c r="Z75" s="310"/>
      <c r="AA75" s="310"/>
      <c r="AB75" s="310"/>
    </row>
    <row r="76" spans="1:28" s="2" customFormat="1">
      <c r="A76" s="14">
        <f t="shared" si="1"/>
        <v>72</v>
      </c>
      <c r="B76" s="359"/>
      <c r="C76" s="360"/>
      <c r="D76" s="360"/>
      <c r="E76" s="360"/>
      <c r="F76" s="361"/>
      <c r="G76" s="359"/>
      <c r="H76" s="360"/>
      <c r="I76" s="360"/>
      <c r="J76" s="361"/>
      <c r="K76" s="362"/>
      <c r="L76" s="363"/>
      <c r="M76" s="34"/>
      <c r="N76" s="35"/>
      <c r="O76" s="36"/>
      <c r="P76" s="36"/>
      <c r="Q76" s="285"/>
      <c r="R76" s="286"/>
      <c r="S76" s="286"/>
      <c r="T76" s="286"/>
      <c r="U76" s="287"/>
      <c r="V76" s="37"/>
      <c r="W76" s="288"/>
      <c r="X76" s="288"/>
      <c r="Y76" s="288"/>
      <c r="Z76" s="288"/>
      <c r="AA76" s="288"/>
      <c r="AB76" s="288"/>
    </row>
    <row r="77" spans="1:28" s="2" customFormat="1">
      <c r="A77" s="15">
        <f t="shared" si="1"/>
        <v>73</v>
      </c>
      <c r="B77" s="340"/>
      <c r="C77" s="341"/>
      <c r="D77" s="341"/>
      <c r="E77" s="341"/>
      <c r="F77" s="342"/>
      <c r="G77" s="340"/>
      <c r="H77" s="341"/>
      <c r="I77" s="341"/>
      <c r="J77" s="342"/>
      <c r="K77" s="364"/>
      <c r="L77" s="365"/>
      <c r="M77" s="38"/>
      <c r="N77" s="39"/>
      <c r="O77" s="40"/>
      <c r="P77" s="40"/>
      <c r="Q77" s="305"/>
      <c r="R77" s="306"/>
      <c r="S77" s="306"/>
      <c r="T77" s="306"/>
      <c r="U77" s="307"/>
      <c r="V77" s="41"/>
      <c r="W77" s="310"/>
      <c r="X77" s="310"/>
      <c r="Y77" s="310"/>
      <c r="Z77" s="310"/>
      <c r="AA77" s="310"/>
      <c r="AB77" s="310"/>
    </row>
    <row r="78" spans="1:28" s="2" customFormat="1">
      <c r="A78" s="14">
        <f t="shared" si="1"/>
        <v>74</v>
      </c>
      <c r="B78" s="359"/>
      <c r="C78" s="360"/>
      <c r="D78" s="360"/>
      <c r="E78" s="360"/>
      <c r="F78" s="361"/>
      <c r="G78" s="359"/>
      <c r="H78" s="360"/>
      <c r="I78" s="360"/>
      <c r="J78" s="361"/>
      <c r="K78" s="362"/>
      <c r="L78" s="363"/>
      <c r="M78" s="34"/>
      <c r="N78" s="35"/>
      <c r="O78" s="36"/>
      <c r="P78" s="36"/>
      <c r="Q78" s="285"/>
      <c r="R78" s="286"/>
      <c r="S78" s="286"/>
      <c r="T78" s="286"/>
      <c r="U78" s="287"/>
      <c r="V78" s="37"/>
      <c r="W78" s="288"/>
      <c r="X78" s="288"/>
      <c r="Y78" s="288"/>
      <c r="Z78" s="288"/>
      <c r="AA78" s="288"/>
      <c r="AB78" s="288"/>
    </row>
    <row r="79" spans="1:28">
      <c r="A79" s="4">
        <f t="shared" si="1"/>
        <v>75</v>
      </c>
      <c r="B79" s="340"/>
      <c r="C79" s="341"/>
      <c r="D79" s="341"/>
      <c r="E79" s="341"/>
      <c r="F79" s="342"/>
      <c r="G79" s="340"/>
      <c r="H79" s="341"/>
      <c r="I79" s="341"/>
      <c r="J79" s="342"/>
      <c r="K79" s="364"/>
      <c r="L79" s="365"/>
      <c r="M79" s="38"/>
      <c r="N79" s="39"/>
      <c r="O79" s="40"/>
      <c r="P79" s="40"/>
      <c r="Q79" s="305"/>
      <c r="R79" s="306"/>
      <c r="S79" s="306"/>
      <c r="T79" s="306"/>
      <c r="U79" s="307"/>
      <c r="V79" s="41"/>
      <c r="W79" s="310"/>
      <c r="X79" s="310"/>
      <c r="Y79" s="310"/>
      <c r="Z79" s="310"/>
      <c r="AA79" s="310"/>
      <c r="AB79" s="310"/>
    </row>
    <row r="80" spans="1:28">
      <c r="A80" s="8">
        <f t="shared" si="1"/>
        <v>76</v>
      </c>
      <c r="B80" s="359"/>
      <c r="C80" s="360"/>
      <c r="D80" s="360"/>
      <c r="E80" s="360"/>
      <c r="F80" s="361"/>
      <c r="G80" s="359"/>
      <c r="H80" s="360"/>
      <c r="I80" s="360"/>
      <c r="J80" s="361"/>
      <c r="K80" s="362"/>
      <c r="L80" s="363"/>
      <c r="M80" s="34"/>
      <c r="N80" s="35"/>
      <c r="O80" s="36"/>
      <c r="P80" s="36"/>
      <c r="Q80" s="285"/>
      <c r="R80" s="286"/>
      <c r="S80" s="286"/>
      <c r="T80" s="286"/>
      <c r="U80" s="287"/>
      <c r="V80" s="37"/>
      <c r="W80" s="288"/>
      <c r="X80" s="288"/>
      <c r="Y80" s="288"/>
      <c r="Z80" s="288"/>
      <c r="AA80" s="288"/>
      <c r="AB80" s="288"/>
    </row>
    <row r="81" spans="1:28">
      <c r="A81" s="15">
        <f t="shared" si="1"/>
        <v>77</v>
      </c>
      <c r="B81" s="340"/>
      <c r="C81" s="341"/>
      <c r="D81" s="341"/>
      <c r="E81" s="341"/>
      <c r="F81" s="342"/>
      <c r="G81" s="340"/>
      <c r="H81" s="341"/>
      <c r="I81" s="341"/>
      <c r="J81" s="342"/>
      <c r="K81" s="364"/>
      <c r="L81" s="365"/>
      <c r="M81" s="38"/>
      <c r="N81" s="39"/>
      <c r="O81" s="40"/>
      <c r="P81" s="40"/>
      <c r="Q81" s="305"/>
      <c r="R81" s="306"/>
      <c r="S81" s="306"/>
      <c r="T81" s="306"/>
      <c r="U81" s="307"/>
      <c r="V81" s="41"/>
      <c r="W81" s="310"/>
      <c r="X81" s="310"/>
      <c r="Y81" s="310"/>
      <c r="Z81" s="310"/>
      <c r="AA81" s="310"/>
      <c r="AB81" s="310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5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35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83</v>
      </c>
      <c r="J2" s="325"/>
      <c r="K2" s="325"/>
      <c r="L2" s="325"/>
      <c r="M2" s="325"/>
      <c r="N2" s="325"/>
      <c r="O2" s="325"/>
      <c r="P2" s="325" t="s">
        <v>81</v>
      </c>
      <c r="Q2" s="325"/>
      <c r="R2" s="325"/>
      <c r="S2" s="325"/>
      <c r="T2" s="325"/>
      <c r="U2" s="325"/>
      <c r="V2" s="3" t="s">
        <v>65</v>
      </c>
      <c r="W2" s="327" t="s">
        <v>25</v>
      </c>
      <c r="X2" s="325"/>
      <c r="Y2" s="325"/>
      <c r="Z2" s="325"/>
      <c r="AA2" s="329">
        <v>41579</v>
      </c>
      <c r="AB2" s="325"/>
    </row>
    <row r="3" spans="1:35" ht="30" customHeight="1">
      <c r="A3" s="6" t="s">
        <v>6</v>
      </c>
      <c r="B3" s="330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35" ht="14.25" thickBot="1">
      <c r="A4" s="7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" t="s">
        <v>11</v>
      </c>
      <c r="N4" s="7" t="s">
        <v>12</v>
      </c>
      <c r="O4" s="7" t="s">
        <v>13</v>
      </c>
      <c r="P4" s="7" t="s">
        <v>14</v>
      </c>
      <c r="Q4" s="313" t="s">
        <v>15</v>
      </c>
      <c r="R4" s="313"/>
      <c r="S4" s="313"/>
      <c r="T4" s="313"/>
      <c r="U4" s="313"/>
      <c r="V4" s="7" t="s">
        <v>16</v>
      </c>
      <c r="W4" s="313" t="s">
        <v>17</v>
      </c>
      <c r="X4" s="313"/>
      <c r="Y4" s="313"/>
      <c r="Z4" s="313"/>
      <c r="AA4" s="313"/>
      <c r="AB4" s="313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56" t="s">
        <v>45</v>
      </c>
      <c r="C5" s="357"/>
      <c r="D5" s="357"/>
      <c r="E5" s="357"/>
      <c r="F5" s="358"/>
      <c r="G5" s="340" t="s">
        <v>46</v>
      </c>
      <c r="H5" s="341"/>
      <c r="I5" s="341"/>
      <c r="J5" s="342"/>
      <c r="K5" s="367" t="s">
        <v>47</v>
      </c>
      <c r="L5" s="368"/>
      <c r="M5" s="10">
        <v>36</v>
      </c>
      <c r="N5" s="11"/>
      <c r="O5" s="12" t="s">
        <v>66</v>
      </c>
      <c r="P5" s="12" t="s">
        <v>74</v>
      </c>
      <c r="Q5" s="314"/>
      <c r="R5" s="315"/>
      <c r="S5" s="315"/>
      <c r="T5" s="315"/>
      <c r="U5" s="316"/>
      <c r="V5" s="33">
        <f>AG5</f>
        <v>0</v>
      </c>
      <c r="W5" s="322"/>
      <c r="X5" s="323"/>
      <c r="Y5" s="323"/>
      <c r="Z5" s="323"/>
      <c r="AA5" s="323"/>
      <c r="AB5" s="323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59" t="str">
        <f t="shared" ref="B6:B68" si="0">AC6</f>
        <v>保険種類</v>
      </c>
      <c r="C6" s="360"/>
      <c r="D6" s="360"/>
      <c r="E6" s="360"/>
      <c r="F6" s="361"/>
      <c r="G6" s="359" t="str">
        <f>UPPER(AF6)</f>
        <v>INSURANCEKIND</v>
      </c>
      <c r="H6" s="360"/>
      <c r="I6" s="360"/>
      <c r="J6" s="361"/>
      <c r="K6" s="362" t="str">
        <f>AH6</f>
        <v>NUMBER</v>
      </c>
      <c r="L6" s="363"/>
      <c r="M6" s="34"/>
      <c r="N6" s="35"/>
      <c r="O6" s="36"/>
      <c r="P6" s="36"/>
      <c r="Q6" s="285"/>
      <c r="R6" s="286"/>
      <c r="S6" s="286"/>
      <c r="T6" s="286"/>
      <c r="U6" s="287"/>
      <c r="V6" s="37" t="str">
        <f t="shared" ref="V6:V69" si="1">AG6</f>
        <v>ACT側のマスタを利用</v>
      </c>
      <c r="W6" s="288"/>
      <c r="X6" s="288"/>
      <c r="Y6" s="288"/>
      <c r="Z6" s="288"/>
      <c r="AA6" s="288"/>
      <c r="AB6" s="288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40">
        <f t="shared" si="0"/>
        <v>0</v>
      </c>
      <c r="C7" s="341"/>
      <c r="D7" s="341"/>
      <c r="E7" s="341"/>
      <c r="F7" s="342"/>
      <c r="G7" s="340" t="str">
        <f t="shared" ref="G7:G70" si="3">UPPER(AF7)</f>
        <v/>
      </c>
      <c r="H7" s="341"/>
      <c r="I7" s="341"/>
      <c r="J7" s="342"/>
      <c r="K7" s="364">
        <f t="shared" ref="K7:K70" si="4">AH7</f>
        <v>0</v>
      </c>
      <c r="L7" s="365"/>
      <c r="M7" s="38"/>
      <c r="N7" s="39"/>
      <c r="O7" s="40"/>
      <c r="P7" s="40"/>
      <c r="Q7" s="305"/>
      <c r="R7" s="306"/>
      <c r="S7" s="306"/>
      <c r="T7" s="306"/>
      <c r="U7" s="307"/>
      <c r="V7" s="41">
        <f t="shared" si="1"/>
        <v>0</v>
      </c>
      <c r="W7" s="310"/>
      <c r="X7" s="310"/>
      <c r="Y7" s="310"/>
      <c r="Z7" s="310"/>
      <c r="AA7" s="310"/>
      <c r="AB7" s="310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59">
        <f t="shared" si="0"/>
        <v>0</v>
      </c>
      <c r="C8" s="360"/>
      <c r="D8" s="360"/>
      <c r="E8" s="360"/>
      <c r="F8" s="361"/>
      <c r="G8" s="359" t="str">
        <f t="shared" si="3"/>
        <v/>
      </c>
      <c r="H8" s="360"/>
      <c r="I8" s="360"/>
      <c r="J8" s="361"/>
      <c r="K8" s="362">
        <f t="shared" si="4"/>
        <v>0</v>
      </c>
      <c r="L8" s="363"/>
      <c r="M8" s="34"/>
      <c r="N8" s="35"/>
      <c r="O8" s="36"/>
      <c r="P8" s="36"/>
      <c r="Q8" s="285"/>
      <c r="R8" s="286"/>
      <c r="S8" s="286"/>
      <c r="T8" s="286"/>
      <c r="U8" s="287"/>
      <c r="V8" s="37">
        <f t="shared" si="1"/>
        <v>0</v>
      </c>
      <c r="W8" s="288"/>
      <c r="X8" s="288"/>
      <c r="Y8" s="288"/>
      <c r="Z8" s="288"/>
      <c r="AA8" s="288"/>
      <c r="AB8" s="288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40">
        <f t="shared" si="0"/>
        <v>0</v>
      </c>
      <c r="C9" s="341"/>
      <c r="D9" s="341"/>
      <c r="E9" s="341"/>
      <c r="F9" s="342"/>
      <c r="G9" s="340" t="str">
        <f t="shared" si="3"/>
        <v/>
      </c>
      <c r="H9" s="341"/>
      <c r="I9" s="341"/>
      <c r="J9" s="342"/>
      <c r="K9" s="364">
        <f t="shared" si="4"/>
        <v>0</v>
      </c>
      <c r="L9" s="365"/>
      <c r="M9" s="38"/>
      <c r="N9" s="39"/>
      <c r="O9" s="40"/>
      <c r="P9" s="40"/>
      <c r="Q9" s="305"/>
      <c r="R9" s="306"/>
      <c r="S9" s="306"/>
      <c r="T9" s="306"/>
      <c r="U9" s="307"/>
      <c r="V9" s="41">
        <f t="shared" si="1"/>
        <v>0</v>
      </c>
      <c r="W9" s="310"/>
      <c r="X9" s="310"/>
      <c r="Y9" s="310"/>
      <c r="Z9" s="310"/>
      <c r="AA9" s="310"/>
      <c r="AB9" s="310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59">
        <f t="shared" si="0"/>
        <v>0</v>
      </c>
      <c r="C10" s="360"/>
      <c r="D10" s="360"/>
      <c r="E10" s="360"/>
      <c r="F10" s="361"/>
      <c r="G10" s="359" t="str">
        <f t="shared" si="3"/>
        <v/>
      </c>
      <c r="H10" s="360"/>
      <c r="I10" s="360"/>
      <c r="J10" s="361"/>
      <c r="K10" s="362">
        <f t="shared" si="4"/>
        <v>0</v>
      </c>
      <c r="L10" s="363"/>
      <c r="M10" s="34"/>
      <c r="N10" s="35"/>
      <c r="O10" s="36"/>
      <c r="P10" s="36"/>
      <c r="Q10" s="285"/>
      <c r="R10" s="286"/>
      <c r="S10" s="286"/>
      <c r="T10" s="286"/>
      <c r="U10" s="287"/>
      <c r="V10" s="37">
        <f t="shared" si="1"/>
        <v>0</v>
      </c>
      <c r="W10" s="288"/>
      <c r="X10" s="288"/>
      <c r="Y10" s="288"/>
      <c r="Z10" s="288"/>
      <c r="AA10" s="288"/>
      <c r="AB10" s="288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40">
        <f t="shared" si="0"/>
        <v>0</v>
      </c>
      <c r="C11" s="341"/>
      <c r="D11" s="341"/>
      <c r="E11" s="341"/>
      <c r="F11" s="342"/>
      <c r="G11" s="340" t="str">
        <f t="shared" si="3"/>
        <v/>
      </c>
      <c r="H11" s="341"/>
      <c r="I11" s="341"/>
      <c r="J11" s="342"/>
      <c r="K11" s="364">
        <f t="shared" si="4"/>
        <v>0</v>
      </c>
      <c r="L11" s="365"/>
      <c r="M11" s="38"/>
      <c r="N11" s="39"/>
      <c r="O11" s="40"/>
      <c r="P11" s="40"/>
      <c r="Q11" s="305"/>
      <c r="R11" s="306"/>
      <c r="S11" s="306"/>
      <c r="T11" s="306"/>
      <c r="U11" s="307"/>
      <c r="V11" s="41">
        <f t="shared" si="1"/>
        <v>0</v>
      </c>
      <c r="W11" s="310"/>
      <c r="X11" s="310"/>
      <c r="Y11" s="310"/>
      <c r="Z11" s="310"/>
      <c r="AA11" s="310"/>
      <c r="AB11" s="310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59">
        <f t="shared" si="0"/>
        <v>0</v>
      </c>
      <c r="C12" s="360"/>
      <c r="D12" s="360"/>
      <c r="E12" s="360"/>
      <c r="F12" s="361"/>
      <c r="G12" s="359" t="str">
        <f t="shared" si="3"/>
        <v/>
      </c>
      <c r="H12" s="360"/>
      <c r="I12" s="360"/>
      <c r="J12" s="361"/>
      <c r="K12" s="362">
        <f t="shared" si="4"/>
        <v>0</v>
      </c>
      <c r="L12" s="363"/>
      <c r="M12" s="34"/>
      <c r="N12" s="35"/>
      <c r="O12" s="36"/>
      <c r="P12" s="36"/>
      <c r="Q12" s="285"/>
      <c r="R12" s="286"/>
      <c r="S12" s="286"/>
      <c r="T12" s="286"/>
      <c r="U12" s="287"/>
      <c r="V12" s="37">
        <f t="shared" si="1"/>
        <v>0</v>
      </c>
      <c r="W12" s="288"/>
      <c r="X12" s="288"/>
      <c r="Y12" s="288"/>
      <c r="Z12" s="288"/>
      <c r="AA12" s="288"/>
      <c r="AB12" s="288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40">
        <f t="shared" si="0"/>
        <v>0</v>
      </c>
      <c r="C13" s="341"/>
      <c r="D13" s="341"/>
      <c r="E13" s="341"/>
      <c r="F13" s="342"/>
      <c r="G13" s="340" t="str">
        <f t="shared" si="3"/>
        <v/>
      </c>
      <c r="H13" s="341"/>
      <c r="I13" s="341"/>
      <c r="J13" s="342"/>
      <c r="K13" s="364">
        <f t="shared" si="4"/>
        <v>0</v>
      </c>
      <c r="L13" s="365"/>
      <c r="M13" s="38"/>
      <c r="N13" s="39"/>
      <c r="O13" s="40"/>
      <c r="P13" s="40"/>
      <c r="Q13" s="305"/>
      <c r="R13" s="306"/>
      <c r="S13" s="306"/>
      <c r="T13" s="306"/>
      <c r="U13" s="307"/>
      <c r="V13" s="41">
        <f t="shared" si="1"/>
        <v>0</v>
      </c>
      <c r="W13" s="310"/>
      <c r="X13" s="310"/>
      <c r="Y13" s="310"/>
      <c r="Z13" s="310"/>
      <c r="AA13" s="310"/>
      <c r="AB13" s="310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59">
        <f t="shared" si="0"/>
        <v>0</v>
      </c>
      <c r="C14" s="360"/>
      <c r="D14" s="360"/>
      <c r="E14" s="360"/>
      <c r="F14" s="361"/>
      <c r="G14" s="359" t="str">
        <f t="shared" si="3"/>
        <v/>
      </c>
      <c r="H14" s="360"/>
      <c r="I14" s="360"/>
      <c r="J14" s="361"/>
      <c r="K14" s="362">
        <f t="shared" si="4"/>
        <v>0</v>
      </c>
      <c r="L14" s="363"/>
      <c r="M14" s="34"/>
      <c r="N14" s="35"/>
      <c r="O14" s="36"/>
      <c r="P14" s="36"/>
      <c r="Q14" s="285"/>
      <c r="R14" s="286"/>
      <c r="S14" s="286"/>
      <c r="T14" s="286"/>
      <c r="U14" s="287"/>
      <c r="V14" s="37">
        <f t="shared" si="1"/>
        <v>0</v>
      </c>
      <c r="W14" s="288"/>
      <c r="X14" s="288"/>
      <c r="Y14" s="288"/>
      <c r="Z14" s="288"/>
      <c r="AA14" s="288"/>
      <c r="AB14" s="288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40">
        <f t="shared" si="0"/>
        <v>0</v>
      </c>
      <c r="C15" s="341"/>
      <c r="D15" s="341"/>
      <c r="E15" s="341"/>
      <c r="F15" s="342"/>
      <c r="G15" s="340" t="str">
        <f t="shared" si="3"/>
        <v/>
      </c>
      <c r="H15" s="341"/>
      <c r="I15" s="341"/>
      <c r="J15" s="342"/>
      <c r="K15" s="364">
        <f t="shared" si="4"/>
        <v>0</v>
      </c>
      <c r="L15" s="365"/>
      <c r="M15" s="38"/>
      <c r="N15" s="39"/>
      <c r="O15" s="40"/>
      <c r="P15" s="40"/>
      <c r="Q15" s="305"/>
      <c r="R15" s="306"/>
      <c r="S15" s="306"/>
      <c r="T15" s="306"/>
      <c r="U15" s="307"/>
      <c r="V15" s="41">
        <f t="shared" si="1"/>
        <v>0</v>
      </c>
      <c r="W15" s="310"/>
      <c r="X15" s="310"/>
      <c r="Y15" s="310"/>
      <c r="Z15" s="310"/>
      <c r="AA15" s="310"/>
      <c r="AB15" s="310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59">
        <f t="shared" si="0"/>
        <v>0</v>
      </c>
      <c r="C16" s="360"/>
      <c r="D16" s="360"/>
      <c r="E16" s="360"/>
      <c r="F16" s="361"/>
      <c r="G16" s="359" t="str">
        <f t="shared" si="3"/>
        <v/>
      </c>
      <c r="H16" s="360"/>
      <c r="I16" s="360"/>
      <c r="J16" s="361"/>
      <c r="K16" s="362">
        <f t="shared" si="4"/>
        <v>0</v>
      </c>
      <c r="L16" s="363"/>
      <c r="M16" s="34"/>
      <c r="N16" s="35"/>
      <c r="O16" s="36"/>
      <c r="P16" s="36"/>
      <c r="Q16" s="285"/>
      <c r="R16" s="286"/>
      <c r="S16" s="286"/>
      <c r="T16" s="286"/>
      <c r="U16" s="287"/>
      <c r="V16" s="37">
        <f t="shared" si="1"/>
        <v>0</v>
      </c>
      <c r="W16" s="288"/>
      <c r="X16" s="288"/>
      <c r="Y16" s="288"/>
      <c r="Z16" s="288"/>
      <c r="AA16" s="288"/>
      <c r="AB16" s="288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40">
        <f t="shared" si="0"/>
        <v>0</v>
      </c>
      <c r="C17" s="341"/>
      <c r="D17" s="341"/>
      <c r="E17" s="341"/>
      <c r="F17" s="342"/>
      <c r="G17" s="340" t="str">
        <f t="shared" si="3"/>
        <v/>
      </c>
      <c r="H17" s="341"/>
      <c r="I17" s="341"/>
      <c r="J17" s="342"/>
      <c r="K17" s="364">
        <f t="shared" si="4"/>
        <v>0</v>
      </c>
      <c r="L17" s="365"/>
      <c r="M17" s="38"/>
      <c r="N17" s="39"/>
      <c r="O17" s="40"/>
      <c r="P17" s="40"/>
      <c r="Q17" s="305"/>
      <c r="R17" s="306"/>
      <c r="S17" s="306"/>
      <c r="T17" s="306"/>
      <c r="U17" s="307"/>
      <c r="V17" s="41">
        <f t="shared" si="1"/>
        <v>0</v>
      </c>
      <c r="W17" s="310"/>
      <c r="X17" s="310"/>
      <c r="Y17" s="310"/>
      <c r="Z17" s="310"/>
      <c r="AA17" s="310"/>
      <c r="AB17" s="310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59">
        <f t="shared" si="0"/>
        <v>0</v>
      </c>
      <c r="C18" s="360"/>
      <c r="D18" s="360"/>
      <c r="E18" s="360"/>
      <c r="F18" s="361"/>
      <c r="G18" s="359" t="str">
        <f t="shared" si="3"/>
        <v/>
      </c>
      <c r="H18" s="360"/>
      <c r="I18" s="360"/>
      <c r="J18" s="361"/>
      <c r="K18" s="362">
        <f t="shared" si="4"/>
        <v>0</v>
      </c>
      <c r="L18" s="363"/>
      <c r="M18" s="34"/>
      <c r="N18" s="35"/>
      <c r="O18" s="36"/>
      <c r="P18" s="36"/>
      <c r="Q18" s="285"/>
      <c r="R18" s="286"/>
      <c r="S18" s="286"/>
      <c r="T18" s="286"/>
      <c r="U18" s="287"/>
      <c r="V18" s="37">
        <f t="shared" si="1"/>
        <v>0</v>
      </c>
      <c r="W18" s="288"/>
      <c r="X18" s="288"/>
      <c r="Y18" s="288"/>
      <c r="Z18" s="288"/>
      <c r="AA18" s="288"/>
      <c r="AB18" s="288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40">
        <f t="shared" si="0"/>
        <v>0</v>
      </c>
      <c r="C19" s="341"/>
      <c r="D19" s="341"/>
      <c r="E19" s="341"/>
      <c r="F19" s="342"/>
      <c r="G19" s="340" t="str">
        <f t="shared" si="3"/>
        <v/>
      </c>
      <c r="H19" s="341"/>
      <c r="I19" s="341"/>
      <c r="J19" s="342"/>
      <c r="K19" s="364">
        <f t="shared" si="4"/>
        <v>0</v>
      </c>
      <c r="L19" s="365"/>
      <c r="M19" s="38"/>
      <c r="N19" s="39"/>
      <c r="O19" s="40"/>
      <c r="P19" s="40"/>
      <c r="Q19" s="305"/>
      <c r="R19" s="306"/>
      <c r="S19" s="306"/>
      <c r="T19" s="306"/>
      <c r="U19" s="307"/>
      <c r="V19" s="41">
        <f t="shared" si="1"/>
        <v>0</v>
      </c>
      <c r="W19" s="310"/>
      <c r="X19" s="310"/>
      <c r="Y19" s="310"/>
      <c r="Z19" s="310"/>
      <c r="AA19" s="310"/>
      <c r="AB19" s="310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59">
        <f t="shared" si="0"/>
        <v>0</v>
      </c>
      <c r="C20" s="360"/>
      <c r="D20" s="360"/>
      <c r="E20" s="360"/>
      <c r="F20" s="361"/>
      <c r="G20" s="359" t="str">
        <f t="shared" si="3"/>
        <v/>
      </c>
      <c r="H20" s="360"/>
      <c r="I20" s="360"/>
      <c r="J20" s="361"/>
      <c r="K20" s="362">
        <f t="shared" si="4"/>
        <v>0</v>
      </c>
      <c r="L20" s="363"/>
      <c r="M20" s="34"/>
      <c r="N20" s="35"/>
      <c r="O20" s="36"/>
      <c r="P20" s="36"/>
      <c r="Q20" s="285"/>
      <c r="R20" s="286"/>
      <c r="S20" s="286"/>
      <c r="T20" s="286"/>
      <c r="U20" s="287"/>
      <c r="V20" s="37">
        <f t="shared" si="1"/>
        <v>0</v>
      </c>
      <c r="W20" s="288"/>
      <c r="X20" s="288"/>
      <c r="Y20" s="288"/>
      <c r="Z20" s="288"/>
      <c r="AA20" s="288"/>
      <c r="AB20" s="288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40">
        <f t="shared" si="0"/>
        <v>0</v>
      </c>
      <c r="C21" s="341"/>
      <c r="D21" s="341"/>
      <c r="E21" s="341"/>
      <c r="F21" s="342"/>
      <c r="G21" s="340" t="str">
        <f t="shared" si="3"/>
        <v/>
      </c>
      <c r="H21" s="341"/>
      <c r="I21" s="341"/>
      <c r="J21" s="342"/>
      <c r="K21" s="364">
        <f t="shared" si="4"/>
        <v>0</v>
      </c>
      <c r="L21" s="365"/>
      <c r="M21" s="38"/>
      <c r="N21" s="39"/>
      <c r="O21" s="40"/>
      <c r="P21" s="40"/>
      <c r="Q21" s="305"/>
      <c r="R21" s="306"/>
      <c r="S21" s="306"/>
      <c r="T21" s="306"/>
      <c r="U21" s="307"/>
      <c r="V21" s="41">
        <f t="shared" si="1"/>
        <v>0</v>
      </c>
      <c r="W21" s="310"/>
      <c r="X21" s="310"/>
      <c r="Y21" s="310"/>
      <c r="Z21" s="310"/>
      <c r="AA21" s="310"/>
      <c r="AB21" s="310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59">
        <f t="shared" si="0"/>
        <v>0</v>
      </c>
      <c r="C22" s="360"/>
      <c r="D22" s="360"/>
      <c r="E22" s="360"/>
      <c r="F22" s="361"/>
      <c r="G22" s="359" t="str">
        <f t="shared" si="3"/>
        <v/>
      </c>
      <c r="H22" s="360"/>
      <c r="I22" s="360"/>
      <c r="J22" s="361"/>
      <c r="K22" s="362">
        <f t="shared" si="4"/>
        <v>0</v>
      </c>
      <c r="L22" s="363"/>
      <c r="M22" s="34"/>
      <c r="N22" s="35"/>
      <c r="O22" s="36"/>
      <c r="P22" s="36"/>
      <c r="Q22" s="285"/>
      <c r="R22" s="286"/>
      <c r="S22" s="286"/>
      <c r="T22" s="286"/>
      <c r="U22" s="287"/>
      <c r="V22" s="37">
        <f t="shared" si="1"/>
        <v>0</v>
      </c>
      <c r="W22" s="288"/>
      <c r="X22" s="288"/>
      <c r="Y22" s="288"/>
      <c r="Z22" s="288"/>
      <c r="AA22" s="288"/>
      <c r="AB22" s="288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40">
        <f t="shared" si="0"/>
        <v>0</v>
      </c>
      <c r="C23" s="341"/>
      <c r="D23" s="341"/>
      <c r="E23" s="341"/>
      <c r="F23" s="342"/>
      <c r="G23" s="340" t="str">
        <f t="shared" si="3"/>
        <v/>
      </c>
      <c r="H23" s="341"/>
      <c r="I23" s="341"/>
      <c r="J23" s="342"/>
      <c r="K23" s="364">
        <f t="shared" si="4"/>
        <v>0</v>
      </c>
      <c r="L23" s="365"/>
      <c r="M23" s="38"/>
      <c r="N23" s="39"/>
      <c r="O23" s="40"/>
      <c r="P23" s="40"/>
      <c r="Q23" s="305"/>
      <c r="R23" s="306"/>
      <c r="S23" s="306"/>
      <c r="T23" s="306"/>
      <c r="U23" s="307"/>
      <c r="V23" s="41">
        <f t="shared" si="1"/>
        <v>0</v>
      </c>
      <c r="W23" s="310"/>
      <c r="X23" s="310"/>
      <c r="Y23" s="310"/>
      <c r="Z23" s="310"/>
      <c r="AA23" s="310"/>
      <c r="AB23" s="310"/>
    </row>
    <row r="24" spans="1:34">
      <c r="A24" s="8">
        <f t="shared" si="2"/>
        <v>20</v>
      </c>
      <c r="B24" s="359">
        <f t="shared" si="0"/>
        <v>0</v>
      </c>
      <c r="C24" s="360"/>
      <c r="D24" s="360"/>
      <c r="E24" s="360"/>
      <c r="F24" s="361"/>
      <c r="G24" s="359" t="str">
        <f t="shared" si="3"/>
        <v/>
      </c>
      <c r="H24" s="360"/>
      <c r="I24" s="360"/>
      <c r="J24" s="361"/>
      <c r="K24" s="362">
        <f t="shared" si="4"/>
        <v>0</v>
      </c>
      <c r="L24" s="363"/>
      <c r="M24" s="34"/>
      <c r="N24" s="35"/>
      <c r="O24" s="36"/>
      <c r="P24" s="36"/>
      <c r="Q24" s="285"/>
      <c r="R24" s="286"/>
      <c r="S24" s="286"/>
      <c r="T24" s="286"/>
      <c r="U24" s="287"/>
      <c r="V24" s="37">
        <f t="shared" si="1"/>
        <v>0</v>
      </c>
      <c r="W24" s="288"/>
      <c r="X24" s="288"/>
      <c r="Y24" s="288"/>
      <c r="Z24" s="288"/>
      <c r="AA24" s="288"/>
      <c r="AB24" s="288"/>
    </row>
    <row r="25" spans="1:34" s="2" customFormat="1">
      <c r="A25" s="15">
        <f t="shared" si="2"/>
        <v>21</v>
      </c>
      <c r="B25" s="340">
        <f t="shared" si="0"/>
        <v>0</v>
      </c>
      <c r="C25" s="341"/>
      <c r="D25" s="341"/>
      <c r="E25" s="341"/>
      <c r="F25" s="342"/>
      <c r="G25" s="340" t="str">
        <f t="shared" si="3"/>
        <v/>
      </c>
      <c r="H25" s="341"/>
      <c r="I25" s="341"/>
      <c r="J25" s="342"/>
      <c r="K25" s="364">
        <f t="shared" si="4"/>
        <v>0</v>
      </c>
      <c r="L25" s="365"/>
      <c r="M25" s="38"/>
      <c r="N25" s="39"/>
      <c r="O25" s="40"/>
      <c r="P25" s="40"/>
      <c r="Q25" s="305"/>
      <c r="R25" s="306"/>
      <c r="S25" s="306"/>
      <c r="T25" s="306"/>
      <c r="U25" s="307"/>
      <c r="V25" s="41">
        <f t="shared" si="1"/>
        <v>0</v>
      </c>
      <c r="W25" s="310"/>
      <c r="X25" s="310"/>
      <c r="Y25" s="310"/>
      <c r="Z25" s="310"/>
      <c r="AA25" s="310"/>
      <c r="AB25" s="310"/>
      <c r="AC25" s="13"/>
    </row>
    <row r="26" spans="1:34" s="2" customFormat="1">
      <c r="A26" s="14">
        <f t="shared" si="2"/>
        <v>22</v>
      </c>
      <c r="B26" s="359">
        <f t="shared" si="0"/>
        <v>0</v>
      </c>
      <c r="C26" s="360"/>
      <c r="D26" s="360"/>
      <c r="E26" s="360"/>
      <c r="F26" s="361"/>
      <c r="G26" s="359" t="str">
        <f t="shared" si="3"/>
        <v/>
      </c>
      <c r="H26" s="360"/>
      <c r="I26" s="360"/>
      <c r="J26" s="361"/>
      <c r="K26" s="362">
        <f t="shared" si="4"/>
        <v>0</v>
      </c>
      <c r="L26" s="363"/>
      <c r="M26" s="34"/>
      <c r="N26" s="35"/>
      <c r="O26" s="36"/>
      <c r="P26" s="36"/>
      <c r="Q26" s="285"/>
      <c r="R26" s="286"/>
      <c r="S26" s="286"/>
      <c r="T26" s="286"/>
      <c r="U26" s="287"/>
      <c r="V26" s="37">
        <f t="shared" si="1"/>
        <v>0</v>
      </c>
      <c r="W26" s="288"/>
      <c r="X26" s="288"/>
      <c r="Y26" s="288"/>
      <c r="Z26" s="288"/>
      <c r="AA26" s="288"/>
      <c r="AB26" s="288"/>
      <c r="AC26" s="13"/>
    </row>
    <row r="27" spans="1:34" s="2" customFormat="1">
      <c r="A27" s="15">
        <f t="shared" si="2"/>
        <v>23</v>
      </c>
      <c r="B27" s="340">
        <f t="shared" si="0"/>
        <v>0</v>
      </c>
      <c r="C27" s="341"/>
      <c r="D27" s="341"/>
      <c r="E27" s="341"/>
      <c r="F27" s="342"/>
      <c r="G27" s="340" t="str">
        <f t="shared" si="3"/>
        <v/>
      </c>
      <c r="H27" s="341"/>
      <c r="I27" s="341"/>
      <c r="J27" s="342"/>
      <c r="K27" s="364">
        <f t="shared" si="4"/>
        <v>0</v>
      </c>
      <c r="L27" s="365"/>
      <c r="M27" s="38"/>
      <c r="N27" s="39"/>
      <c r="O27" s="40"/>
      <c r="P27" s="40"/>
      <c r="Q27" s="305"/>
      <c r="R27" s="306"/>
      <c r="S27" s="306"/>
      <c r="T27" s="306"/>
      <c r="U27" s="307"/>
      <c r="V27" s="41">
        <f t="shared" si="1"/>
        <v>0</v>
      </c>
      <c r="W27" s="310"/>
      <c r="X27" s="310"/>
      <c r="Y27" s="310"/>
      <c r="Z27" s="310"/>
      <c r="AA27" s="310"/>
      <c r="AB27" s="310"/>
      <c r="AC27" s="13"/>
    </row>
    <row r="28" spans="1:34" s="2" customFormat="1">
      <c r="A28" s="14">
        <f t="shared" si="2"/>
        <v>24</v>
      </c>
      <c r="B28" s="359">
        <f t="shared" si="0"/>
        <v>0</v>
      </c>
      <c r="C28" s="360"/>
      <c r="D28" s="360"/>
      <c r="E28" s="360"/>
      <c r="F28" s="361"/>
      <c r="G28" s="359" t="str">
        <f t="shared" si="3"/>
        <v/>
      </c>
      <c r="H28" s="360"/>
      <c r="I28" s="360"/>
      <c r="J28" s="361"/>
      <c r="K28" s="362">
        <f t="shared" si="4"/>
        <v>0</v>
      </c>
      <c r="L28" s="363"/>
      <c r="M28" s="34"/>
      <c r="N28" s="35"/>
      <c r="O28" s="36"/>
      <c r="P28" s="36"/>
      <c r="Q28" s="285"/>
      <c r="R28" s="286"/>
      <c r="S28" s="286"/>
      <c r="T28" s="286"/>
      <c r="U28" s="287"/>
      <c r="V28" s="37">
        <f t="shared" si="1"/>
        <v>0</v>
      </c>
      <c r="W28" s="288"/>
      <c r="X28" s="288"/>
      <c r="Y28" s="288"/>
      <c r="Z28" s="288"/>
      <c r="AA28" s="288"/>
      <c r="AB28" s="288"/>
      <c r="AC28" s="13"/>
    </row>
    <row r="29" spans="1:34" s="2" customFormat="1">
      <c r="A29" s="15">
        <f t="shared" si="2"/>
        <v>25</v>
      </c>
      <c r="B29" s="340">
        <f t="shared" si="0"/>
        <v>0</v>
      </c>
      <c r="C29" s="341"/>
      <c r="D29" s="341"/>
      <c r="E29" s="341"/>
      <c r="F29" s="342"/>
      <c r="G29" s="340" t="str">
        <f t="shared" si="3"/>
        <v/>
      </c>
      <c r="H29" s="341"/>
      <c r="I29" s="341"/>
      <c r="J29" s="342"/>
      <c r="K29" s="364">
        <f t="shared" si="4"/>
        <v>0</v>
      </c>
      <c r="L29" s="365"/>
      <c r="M29" s="38"/>
      <c r="N29" s="39"/>
      <c r="O29" s="40"/>
      <c r="P29" s="40"/>
      <c r="Q29" s="305"/>
      <c r="R29" s="306"/>
      <c r="S29" s="306"/>
      <c r="T29" s="306"/>
      <c r="U29" s="307"/>
      <c r="V29" s="41">
        <f t="shared" si="1"/>
        <v>0</v>
      </c>
      <c r="W29" s="310"/>
      <c r="X29" s="310"/>
      <c r="Y29" s="310"/>
      <c r="Z29" s="310"/>
      <c r="AA29" s="310"/>
      <c r="AB29" s="310"/>
      <c r="AC29" s="13"/>
    </row>
    <row r="30" spans="1:34" s="2" customFormat="1">
      <c r="A30" s="14">
        <f t="shared" si="2"/>
        <v>26</v>
      </c>
      <c r="B30" s="359">
        <f t="shared" si="0"/>
        <v>0</v>
      </c>
      <c r="C30" s="360"/>
      <c r="D30" s="360"/>
      <c r="E30" s="360"/>
      <c r="F30" s="361"/>
      <c r="G30" s="359" t="str">
        <f t="shared" si="3"/>
        <v/>
      </c>
      <c r="H30" s="360"/>
      <c r="I30" s="360"/>
      <c r="J30" s="361"/>
      <c r="K30" s="362">
        <f t="shared" si="4"/>
        <v>0</v>
      </c>
      <c r="L30" s="363"/>
      <c r="M30" s="34"/>
      <c r="N30" s="35"/>
      <c r="O30" s="36"/>
      <c r="P30" s="36"/>
      <c r="Q30" s="285"/>
      <c r="R30" s="286"/>
      <c r="S30" s="286"/>
      <c r="T30" s="286"/>
      <c r="U30" s="287"/>
      <c r="V30" s="37">
        <f t="shared" si="1"/>
        <v>0</v>
      </c>
      <c r="W30" s="288"/>
      <c r="X30" s="288"/>
      <c r="Y30" s="288"/>
      <c r="Z30" s="288"/>
      <c r="AA30" s="288"/>
      <c r="AB30" s="288"/>
      <c r="AC30" s="13"/>
    </row>
    <row r="31" spans="1:34">
      <c r="A31" s="4">
        <f t="shared" si="2"/>
        <v>27</v>
      </c>
      <c r="B31" s="340">
        <f t="shared" si="0"/>
        <v>0</v>
      </c>
      <c r="C31" s="341"/>
      <c r="D31" s="341"/>
      <c r="E31" s="341"/>
      <c r="F31" s="342"/>
      <c r="G31" s="340" t="str">
        <f t="shared" si="3"/>
        <v/>
      </c>
      <c r="H31" s="341"/>
      <c r="I31" s="341"/>
      <c r="J31" s="342"/>
      <c r="K31" s="364">
        <f t="shared" si="4"/>
        <v>0</v>
      </c>
      <c r="L31" s="365"/>
      <c r="M31" s="38"/>
      <c r="N31" s="39"/>
      <c r="O31" s="40"/>
      <c r="P31" s="40"/>
      <c r="Q31" s="305"/>
      <c r="R31" s="306"/>
      <c r="S31" s="306"/>
      <c r="T31" s="306"/>
      <c r="U31" s="307"/>
      <c r="V31" s="41">
        <f t="shared" si="1"/>
        <v>0</v>
      </c>
      <c r="W31" s="310"/>
      <c r="X31" s="310"/>
      <c r="Y31" s="310"/>
      <c r="Z31" s="310"/>
      <c r="AA31" s="310"/>
      <c r="AB31" s="310"/>
    </row>
    <row r="32" spans="1:34">
      <c r="A32" s="8">
        <f t="shared" si="2"/>
        <v>28</v>
      </c>
      <c r="B32" s="359">
        <f t="shared" si="0"/>
        <v>0</v>
      </c>
      <c r="C32" s="360"/>
      <c r="D32" s="360"/>
      <c r="E32" s="360"/>
      <c r="F32" s="361"/>
      <c r="G32" s="359" t="str">
        <f t="shared" si="3"/>
        <v/>
      </c>
      <c r="H32" s="360"/>
      <c r="I32" s="360"/>
      <c r="J32" s="361"/>
      <c r="K32" s="362">
        <f t="shared" si="4"/>
        <v>0</v>
      </c>
      <c r="L32" s="363"/>
      <c r="M32" s="34"/>
      <c r="N32" s="35"/>
      <c r="O32" s="36"/>
      <c r="P32" s="36"/>
      <c r="Q32" s="285"/>
      <c r="R32" s="286"/>
      <c r="S32" s="286"/>
      <c r="T32" s="286"/>
      <c r="U32" s="287"/>
      <c r="V32" s="37">
        <f t="shared" si="1"/>
        <v>0</v>
      </c>
      <c r="W32" s="288"/>
      <c r="X32" s="288"/>
      <c r="Y32" s="288"/>
      <c r="Z32" s="288"/>
      <c r="AA32" s="288"/>
      <c r="AB32" s="288"/>
    </row>
    <row r="33" spans="1:29">
      <c r="A33" s="15">
        <f t="shared" si="2"/>
        <v>29</v>
      </c>
      <c r="B33" s="340">
        <f t="shared" si="0"/>
        <v>0</v>
      </c>
      <c r="C33" s="341"/>
      <c r="D33" s="341"/>
      <c r="E33" s="341"/>
      <c r="F33" s="342"/>
      <c r="G33" s="340" t="str">
        <f t="shared" si="3"/>
        <v/>
      </c>
      <c r="H33" s="341"/>
      <c r="I33" s="341"/>
      <c r="J33" s="342"/>
      <c r="K33" s="364">
        <f t="shared" si="4"/>
        <v>0</v>
      </c>
      <c r="L33" s="365"/>
      <c r="M33" s="38"/>
      <c r="N33" s="39"/>
      <c r="O33" s="40"/>
      <c r="P33" s="40"/>
      <c r="Q33" s="305"/>
      <c r="R33" s="306"/>
      <c r="S33" s="306"/>
      <c r="T33" s="306"/>
      <c r="U33" s="307"/>
      <c r="V33" s="41">
        <f t="shared" si="1"/>
        <v>0</v>
      </c>
      <c r="W33" s="310"/>
      <c r="X33" s="310"/>
      <c r="Y33" s="310"/>
      <c r="Z33" s="310"/>
      <c r="AA33" s="310"/>
      <c r="AB33" s="310"/>
    </row>
    <row r="34" spans="1:29" s="2" customFormat="1">
      <c r="A34" s="14">
        <f t="shared" si="2"/>
        <v>30</v>
      </c>
      <c r="B34" s="359">
        <f t="shared" si="0"/>
        <v>0</v>
      </c>
      <c r="C34" s="360"/>
      <c r="D34" s="360"/>
      <c r="E34" s="360"/>
      <c r="F34" s="361"/>
      <c r="G34" s="359" t="str">
        <f t="shared" si="3"/>
        <v/>
      </c>
      <c r="H34" s="360"/>
      <c r="I34" s="360"/>
      <c r="J34" s="361"/>
      <c r="K34" s="362">
        <f t="shared" si="4"/>
        <v>0</v>
      </c>
      <c r="L34" s="363"/>
      <c r="M34" s="34"/>
      <c r="N34" s="35"/>
      <c r="O34" s="36"/>
      <c r="P34" s="36"/>
      <c r="Q34" s="285"/>
      <c r="R34" s="286"/>
      <c r="S34" s="286"/>
      <c r="T34" s="286"/>
      <c r="U34" s="287"/>
      <c r="V34" s="37">
        <f t="shared" si="1"/>
        <v>0</v>
      </c>
      <c r="W34" s="288"/>
      <c r="X34" s="288"/>
      <c r="Y34" s="288"/>
      <c r="Z34" s="288"/>
      <c r="AA34" s="288"/>
      <c r="AB34" s="288"/>
      <c r="AC34" s="13"/>
    </row>
    <row r="35" spans="1:29" s="2" customFormat="1">
      <c r="A35" s="15">
        <f t="shared" si="2"/>
        <v>31</v>
      </c>
      <c r="B35" s="340">
        <f t="shared" si="0"/>
        <v>0</v>
      </c>
      <c r="C35" s="341"/>
      <c r="D35" s="341"/>
      <c r="E35" s="341"/>
      <c r="F35" s="342"/>
      <c r="G35" s="340" t="str">
        <f t="shared" si="3"/>
        <v/>
      </c>
      <c r="H35" s="341"/>
      <c r="I35" s="341"/>
      <c r="J35" s="342"/>
      <c r="K35" s="364">
        <f t="shared" si="4"/>
        <v>0</v>
      </c>
      <c r="L35" s="365"/>
      <c r="M35" s="38"/>
      <c r="N35" s="39"/>
      <c r="O35" s="40"/>
      <c r="P35" s="40"/>
      <c r="Q35" s="305"/>
      <c r="R35" s="306"/>
      <c r="S35" s="306"/>
      <c r="T35" s="306"/>
      <c r="U35" s="307"/>
      <c r="V35" s="41">
        <f t="shared" si="1"/>
        <v>0</v>
      </c>
      <c r="W35" s="310"/>
      <c r="X35" s="310"/>
      <c r="Y35" s="310"/>
      <c r="Z35" s="310"/>
      <c r="AA35" s="310"/>
      <c r="AB35" s="310"/>
      <c r="AC35" s="13"/>
    </row>
    <row r="36" spans="1:29" s="2" customFormat="1">
      <c r="A36" s="14">
        <f t="shared" si="2"/>
        <v>32</v>
      </c>
      <c r="B36" s="359">
        <f t="shared" si="0"/>
        <v>0</v>
      </c>
      <c r="C36" s="360"/>
      <c r="D36" s="360"/>
      <c r="E36" s="360"/>
      <c r="F36" s="361"/>
      <c r="G36" s="359" t="str">
        <f t="shared" si="3"/>
        <v/>
      </c>
      <c r="H36" s="360"/>
      <c r="I36" s="360"/>
      <c r="J36" s="361"/>
      <c r="K36" s="362">
        <f t="shared" si="4"/>
        <v>0</v>
      </c>
      <c r="L36" s="363"/>
      <c r="M36" s="34"/>
      <c r="N36" s="35"/>
      <c r="O36" s="36"/>
      <c r="P36" s="36"/>
      <c r="Q36" s="285"/>
      <c r="R36" s="286"/>
      <c r="S36" s="286"/>
      <c r="T36" s="286"/>
      <c r="U36" s="287"/>
      <c r="V36" s="37">
        <f t="shared" si="1"/>
        <v>0</v>
      </c>
      <c r="W36" s="288"/>
      <c r="X36" s="288"/>
      <c r="Y36" s="288"/>
      <c r="Z36" s="288"/>
      <c r="AA36" s="288"/>
      <c r="AB36" s="288"/>
      <c r="AC36" s="13"/>
    </row>
    <row r="37" spans="1:29" s="2" customFormat="1">
      <c r="A37" s="15">
        <f t="shared" si="2"/>
        <v>33</v>
      </c>
      <c r="B37" s="340">
        <f t="shared" si="0"/>
        <v>0</v>
      </c>
      <c r="C37" s="341"/>
      <c r="D37" s="341"/>
      <c r="E37" s="341"/>
      <c r="F37" s="342"/>
      <c r="G37" s="340" t="str">
        <f t="shared" si="3"/>
        <v/>
      </c>
      <c r="H37" s="341"/>
      <c r="I37" s="341"/>
      <c r="J37" s="342"/>
      <c r="K37" s="364">
        <f t="shared" si="4"/>
        <v>0</v>
      </c>
      <c r="L37" s="365"/>
      <c r="M37" s="38"/>
      <c r="N37" s="39"/>
      <c r="O37" s="40"/>
      <c r="P37" s="40"/>
      <c r="Q37" s="305"/>
      <c r="R37" s="306"/>
      <c r="S37" s="306"/>
      <c r="T37" s="306"/>
      <c r="U37" s="307"/>
      <c r="V37" s="41">
        <f t="shared" si="1"/>
        <v>0</v>
      </c>
      <c r="W37" s="310"/>
      <c r="X37" s="310"/>
      <c r="Y37" s="310"/>
      <c r="Z37" s="310"/>
      <c r="AA37" s="310"/>
      <c r="AB37" s="310"/>
      <c r="AC37" s="13"/>
    </row>
    <row r="38" spans="1:29" s="2" customFormat="1">
      <c r="A38" s="14">
        <f t="shared" si="2"/>
        <v>34</v>
      </c>
      <c r="B38" s="359">
        <f t="shared" si="0"/>
        <v>0</v>
      </c>
      <c r="C38" s="360"/>
      <c r="D38" s="360"/>
      <c r="E38" s="360"/>
      <c r="F38" s="361"/>
      <c r="G38" s="359" t="str">
        <f t="shared" si="3"/>
        <v/>
      </c>
      <c r="H38" s="360"/>
      <c r="I38" s="360"/>
      <c r="J38" s="361"/>
      <c r="K38" s="362">
        <f t="shared" si="4"/>
        <v>0</v>
      </c>
      <c r="L38" s="363"/>
      <c r="M38" s="34"/>
      <c r="N38" s="35"/>
      <c r="O38" s="36"/>
      <c r="P38" s="36"/>
      <c r="Q38" s="285"/>
      <c r="R38" s="286"/>
      <c r="S38" s="286"/>
      <c r="T38" s="286"/>
      <c r="U38" s="287"/>
      <c r="V38" s="37">
        <f t="shared" si="1"/>
        <v>0</v>
      </c>
      <c r="W38" s="288"/>
      <c r="X38" s="288"/>
      <c r="Y38" s="288"/>
      <c r="Z38" s="288"/>
      <c r="AA38" s="288"/>
      <c r="AB38" s="288"/>
      <c r="AC38" s="13"/>
    </row>
    <row r="39" spans="1:29">
      <c r="A39" s="4">
        <f t="shared" si="2"/>
        <v>35</v>
      </c>
      <c r="B39" s="340">
        <f t="shared" si="0"/>
        <v>0</v>
      </c>
      <c r="C39" s="341"/>
      <c r="D39" s="341"/>
      <c r="E39" s="341"/>
      <c r="F39" s="342"/>
      <c r="G39" s="340" t="str">
        <f t="shared" si="3"/>
        <v/>
      </c>
      <c r="H39" s="341"/>
      <c r="I39" s="341"/>
      <c r="J39" s="342"/>
      <c r="K39" s="364">
        <f t="shared" si="4"/>
        <v>0</v>
      </c>
      <c r="L39" s="365"/>
      <c r="M39" s="38"/>
      <c r="N39" s="39"/>
      <c r="O39" s="40"/>
      <c r="P39" s="40"/>
      <c r="Q39" s="305"/>
      <c r="R39" s="306"/>
      <c r="S39" s="306"/>
      <c r="T39" s="306"/>
      <c r="U39" s="307"/>
      <c r="V39" s="41">
        <f t="shared" si="1"/>
        <v>0</v>
      </c>
      <c r="W39" s="310"/>
      <c r="X39" s="310"/>
      <c r="Y39" s="310"/>
      <c r="Z39" s="310"/>
      <c r="AA39" s="310"/>
      <c r="AB39" s="310"/>
    </row>
    <row r="40" spans="1:29">
      <c r="A40" s="8">
        <f t="shared" si="2"/>
        <v>36</v>
      </c>
      <c r="B40" s="359">
        <f t="shared" si="0"/>
        <v>0</v>
      </c>
      <c r="C40" s="360"/>
      <c r="D40" s="360"/>
      <c r="E40" s="360"/>
      <c r="F40" s="361"/>
      <c r="G40" s="359" t="str">
        <f t="shared" si="3"/>
        <v/>
      </c>
      <c r="H40" s="360"/>
      <c r="I40" s="360"/>
      <c r="J40" s="361"/>
      <c r="K40" s="362">
        <f t="shared" si="4"/>
        <v>0</v>
      </c>
      <c r="L40" s="363"/>
      <c r="M40" s="34"/>
      <c r="N40" s="35"/>
      <c r="O40" s="36"/>
      <c r="P40" s="36"/>
      <c r="Q40" s="285"/>
      <c r="R40" s="286"/>
      <c r="S40" s="286"/>
      <c r="T40" s="286"/>
      <c r="U40" s="287"/>
      <c r="V40" s="37">
        <f t="shared" si="1"/>
        <v>0</v>
      </c>
      <c r="W40" s="288"/>
      <c r="X40" s="288"/>
      <c r="Y40" s="288"/>
      <c r="Z40" s="288"/>
      <c r="AA40" s="288"/>
      <c r="AB40" s="288"/>
    </row>
    <row r="41" spans="1:29" s="2" customFormat="1">
      <c r="A41" s="15">
        <f t="shared" si="2"/>
        <v>37</v>
      </c>
      <c r="B41" s="340">
        <f t="shared" si="0"/>
        <v>0</v>
      </c>
      <c r="C41" s="341"/>
      <c r="D41" s="341"/>
      <c r="E41" s="341"/>
      <c r="F41" s="342"/>
      <c r="G41" s="340" t="str">
        <f t="shared" si="3"/>
        <v/>
      </c>
      <c r="H41" s="341"/>
      <c r="I41" s="341"/>
      <c r="J41" s="342"/>
      <c r="K41" s="364">
        <f t="shared" si="4"/>
        <v>0</v>
      </c>
      <c r="L41" s="365"/>
      <c r="M41" s="38"/>
      <c r="N41" s="39"/>
      <c r="O41" s="40"/>
      <c r="P41" s="40"/>
      <c r="Q41" s="305"/>
      <c r="R41" s="306"/>
      <c r="S41" s="306"/>
      <c r="T41" s="306"/>
      <c r="U41" s="307"/>
      <c r="V41" s="41">
        <f t="shared" si="1"/>
        <v>0</v>
      </c>
      <c r="W41" s="310"/>
      <c r="X41" s="310"/>
      <c r="Y41" s="310"/>
      <c r="Z41" s="310"/>
      <c r="AA41" s="310"/>
      <c r="AB41" s="310"/>
      <c r="AC41" s="13"/>
    </row>
    <row r="42" spans="1:29" s="2" customFormat="1">
      <c r="A42" s="14">
        <f t="shared" si="2"/>
        <v>38</v>
      </c>
      <c r="B42" s="359">
        <f t="shared" si="0"/>
        <v>0</v>
      </c>
      <c r="C42" s="360"/>
      <c r="D42" s="360"/>
      <c r="E42" s="360"/>
      <c r="F42" s="361"/>
      <c r="G42" s="359" t="str">
        <f t="shared" si="3"/>
        <v/>
      </c>
      <c r="H42" s="360"/>
      <c r="I42" s="360"/>
      <c r="J42" s="361"/>
      <c r="K42" s="362">
        <f t="shared" si="4"/>
        <v>0</v>
      </c>
      <c r="L42" s="363"/>
      <c r="M42" s="34"/>
      <c r="N42" s="35"/>
      <c r="O42" s="36"/>
      <c r="P42" s="36"/>
      <c r="Q42" s="285"/>
      <c r="R42" s="286"/>
      <c r="S42" s="286"/>
      <c r="T42" s="286"/>
      <c r="U42" s="287"/>
      <c r="V42" s="37">
        <f t="shared" si="1"/>
        <v>0</v>
      </c>
      <c r="W42" s="288"/>
      <c r="X42" s="288"/>
      <c r="Y42" s="288"/>
      <c r="Z42" s="288"/>
      <c r="AA42" s="288"/>
      <c r="AB42" s="288"/>
      <c r="AC42" s="13"/>
    </row>
    <row r="43" spans="1:29" s="2" customFormat="1">
      <c r="A43" s="15">
        <f t="shared" si="2"/>
        <v>39</v>
      </c>
      <c r="B43" s="340">
        <f t="shared" si="0"/>
        <v>0</v>
      </c>
      <c r="C43" s="341"/>
      <c r="D43" s="341"/>
      <c r="E43" s="341"/>
      <c r="F43" s="342"/>
      <c r="G43" s="340" t="str">
        <f t="shared" si="3"/>
        <v/>
      </c>
      <c r="H43" s="341"/>
      <c r="I43" s="341"/>
      <c r="J43" s="342"/>
      <c r="K43" s="364">
        <f t="shared" si="4"/>
        <v>0</v>
      </c>
      <c r="L43" s="365"/>
      <c r="M43" s="38"/>
      <c r="N43" s="39"/>
      <c r="O43" s="40"/>
      <c r="P43" s="40"/>
      <c r="Q43" s="305"/>
      <c r="R43" s="306"/>
      <c r="S43" s="306"/>
      <c r="T43" s="306"/>
      <c r="U43" s="307"/>
      <c r="V43" s="41">
        <f t="shared" si="1"/>
        <v>0</v>
      </c>
      <c r="W43" s="310"/>
      <c r="X43" s="310"/>
      <c r="Y43" s="310"/>
      <c r="Z43" s="310"/>
      <c r="AA43" s="310"/>
      <c r="AB43" s="310"/>
      <c r="AC43" s="13"/>
    </row>
    <row r="44" spans="1:29" s="2" customFormat="1">
      <c r="A44" s="14">
        <f t="shared" si="2"/>
        <v>40</v>
      </c>
      <c r="B44" s="359">
        <f t="shared" si="0"/>
        <v>0</v>
      </c>
      <c r="C44" s="360"/>
      <c r="D44" s="360"/>
      <c r="E44" s="360"/>
      <c r="F44" s="361"/>
      <c r="G44" s="359" t="str">
        <f t="shared" si="3"/>
        <v/>
      </c>
      <c r="H44" s="360"/>
      <c r="I44" s="360"/>
      <c r="J44" s="361"/>
      <c r="K44" s="362">
        <f t="shared" si="4"/>
        <v>0</v>
      </c>
      <c r="L44" s="363"/>
      <c r="M44" s="34"/>
      <c r="N44" s="35"/>
      <c r="O44" s="36"/>
      <c r="P44" s="36"/>
      <c r="Q44" s="285"/>
      <c r="R44" s="286"/>
      <c r="S44" s="286"/>
      <c r="T44" s="286"/>
      <c r="U44" s="287"/>
      <c r="V44" s="37">
        <f t="shared" si="1"/>
        <v>0</v>
      </c>
      <c r="W44" s="288"/>
      <c r="X44" s="288"/>
      <c r="Y44" s="288"/>
      <c r="Z44" s="288"/>
      <c r="AA44" s="288"/>
      <c r="AB44" s="288"/>
      <c r="AC44" s="13"/>
    </row>
    <row r="45" spans="1:29" s="2" customFormat="1">
      <c r="A45" s="15">
        <f t="shared" si="2"/>
        <v>41</v>
      </c>
      <c r="B45" s="340">
        <f t="shared" si="0"/>
        <v>0</v>
      </c>
      <c r="C45" s="341"/>
      <c r="D45" s="341"/>
      <c r="E45" s="341"/>
      <c r="F45" s="342"/>
      <c r="G45" s="340" t="str">
        <f t="shared" si="3"/>
        <v/>
      </c>
      <c r="H45" s="341"/>
      <c r="I45" s="341"/>
      <c r="J45" s="342"/>
      <c r="K45" s="364">
        <f t="shared" si="4"/>
        <v>0</v>
      </c>
      <c r="L45" s="365"/>
      <c r="M45" s="38"/>
      <c r="N45" s="39"/>
      <c r="O45" s="40"/>
      <c r="P45" s="40"/>
      <c r="Q45" s="305"/>
      <c r="R45" s="306"/>
      <c r="S45" s="306"/>
      <c r="T45" s="306"/>
      <c r="U45" s="307"/>
      <c r="V45" s="41">
        <f t="shared" si="1"/>
        <v>0</v>
      </c>
      <c r="W45" s="310"/>
      <c r="X45" s="310"/>
      <c r="Y45" s="310"/>
      <c r="Z45" s="310"/>
      <c r="AA45" s="310"/>
      <c r="AB45" s="310"/>
      <c r="AC45" s="13"/>
    </row>
    <row r="46" spans="1:29" s="2" customFormat="1">
      <c r="A46" s="14">
        <f t="shared" si="2"/>
        <v>42</v>
      </c>
      <c r="B46" s="359">
        <f t="shared" si="0"/>
        <v>0</v>
      </c>
      <c r="C46" s="360"/>
      <c r="D46" s="360"/>
      <c r="E46" s="360"/>
      <c r="F46" s="361"/>
      <c r="G46" s="359" t="str">
        <f t="shared" si="3"/>
        <v/>
      </c>
      <c r="H46" s="360"/>
      <c r="I46" s="360"/>
      <c r="J46" s="361"/>
      <c r="K46" s="362">
        <f t="shared" si="4"/>
        <v>0</v>
      </c>
      <c r="L46" s="363"/>
      <c r="M46" s="34"/>
      <c r="N46" s="35"/>
      <c r="O46" s="36"/>
      <c r="P46" s="36"/>
      <c r="Q46" s="285"/>
      <c r="R46" s="286"/>
      <c r="S46" s="286"/>
      <c r="T46" s="286"/>
      <c r="U46" s="287"/>
      <c r="V46" s="37">
        <f t="shared" si="1"/>
        <v>0</v>
      </c>
      <c r="W46" s="288"/>
      <c r="X46" s="288"/>
      <c r="Y46" s="288"/>
      <c r="Z46" s="288"/>
      <c r="AA46" s="288"/>
      <c r="AB46" s="288"/>
      <c r="AC46" s="13"/>
    </row>
    <row r="47" spans="1:29">
      <c r="A47" s="4">
        <f t="shared" si="2"/>
        <v>43</v>
      </c>
      <c r="B47" s="340">
        <f t="shared" si="0"/>
        <v>0</v>
      </c>
      <c r="C47" s="341"/>
      <c r="D47" s="341"/>
      <c r="E47" s="341"/>
      <c r="F47" s="342"/>
      <c r="G47" s="340" t="str">
        <f t="shared" si="3"/>
        <v/>
      </c>
      <c r="H47" s="341"/>
      <c r="I47" s="341"/>
      <c r="J47" s="342"/>
      <c r="K47" s="364">
        <f t="shared" si="4"/>
        <v>0</v>
      </c>
      <c r="L47" s="365"/>
      <c r="M47" s="38"/>
      <c r="N47" s="39"/>
      <c r="O47" s="40"/>
      <c r="P47" s="40"/>
      <c r="Q47" s="305"/>
      <c r="R47" s="306"/>
      <c r="S47" s="306"/>
      <c r="T47" s="306"/>
      <c r="U47" s="307"/>
      <c r="V47" s="41">
        <f t="shared" si="1"/>
        <v>0</v>
      </c>
      <c r="W47" s="310"/>
      <c r="X47" s="310"/>
      <c r="Y47" s="310"/>
      <c r="Z47" s="310"/>
      <c r="AA47" s="310"/>
      <c r="AB47" s="310"/>
    </row>
    <row r="48" spans="1:29">
      <c r="A48" s="8">
        <f t="shared" si="2"/>
        <v>44</v>
      </c>
      <c r="B48" s="359">
        <f t="shared" si="0"/>
        <v>0</v>
      </c>
      <c r="C48" s="360"/>
      <c r="D48" s="360"/>
      <c r="E48" s="360"/>
      <c r="F48" s="361"/>
      <c r="G48" s="359" t="str">
        <f t="shared" si="3"/>
        <v/>
      </c>
      <c r="H48" s="360"/>
      <c r="I48" s="360"/>
      <c r="J48" s="361"/>
      <c r="K48" s="362">
        <f t="shared" si="4"/>
        <v>0</v>
      </c>
      <c r="L48" s="363"/>
      <c r="M48" s="34"/>
      <c r="N48" s="35"/>
      <c r="O48" s="36"/>
      <c r="P48" s="36"/>
      <c r="Q48" s="285"/>
      <c r="R48" s="286"/>
      <c r="S48" s="286"/>
      <c r="T48" s="286"/>
      <c r="U48" s="287"/>
      <c r="V48" s="37">
        <f t="shared" si="1"/>
        <v>0</v>
      </c>
      <c r="W48" s="288"/>
      <c r="X48" s="288"/>
      <c r="Y48" s="288"/>
      <c r="Z48" s="288"/>
      <c r="AA48" s="288"/>
      <c r="AB48" s="288"/>
    </row>
    <row r="49" spans="1:29">
      <c r="A49" s="15">
        <f t="shared" si="2"/>
        <v>45</v>
      </c>
      <c r="B49" s="340">
        <f t="shared" si="0"/>
        <v>0</v>
      </c>
      <c r="C49" s="341"/>
      <c r="D49" s="341"/>
      <c r="E49" s="341"/>
      <c r="F49" s="342"/>
      <c r="G49" s="340" t="str">
        <f t="shared" si="3"/>
        <v/>
      </c>
      <c r="H49" s="341"/>
      <c r="I49" s="341"/>
      <c r="J49" s="342"/>
      <c r="K49" s="364">
        <f t="shared" si="4"/>
        <v>0</v>
      </c>
      <c r="L49" s="365"/>
      <c r="M49" s="38"/>
      <c r="N49" s="39"/>
      <c r="O49" s="40"/>
      <c r="P49" s="40"/>
      <c r="Q49" s="305"/>
      <c r="R49" s="306"/>
      <c r="S49" s="306"/>
      <c r="T49" s="306"/>
      <c r="U49" s="307"/>
      <c r="V49" s="41">
        <f t="shared" si="1"/>
        <v>0</v>
      </c>
      <c r="W49" s="310"/>
      <c r="X49" s="310"/>
      <c r="Y49" s="310"/>
      <c r="Z49" s="310"/>
      <c r="AA49" s="310"/>
      <c r="AB49" s="310"/>
    </row>
    <row r="50" spans="1:29" s="2" customFormat="1">
      <c r="A50" s="14">
        <f t="shared" si="2"/>
        <v>46</v>
      </c>
      <c r="B50" s="359">
        <f t="shared" si="0"/>
        <v>0</v>
      </c>
      <c r="C50" s="360"/>
      <c r="D50" s="360"/>
      <c r="E50" s="360"/>
      <c r="F50" s="361"/>
      <c r="G50" s="359" t="str">
        <f t="shared" si="3"/>
        <v/>
      </c>
      <c r="H50" s="360"/>
      <c r="I50" s="360"/>
      <c r="J50" s="361"/>
      <c r="K50" s="362">
        <f t="shared" si="4"/>
        <v>0</v>
      </c>
      <c r="L50" s="363"/>
      <c r="M50" s="34"/>
      <c r="N50" s="35"/>
      <c r="O50" s="36"/>
      <c r="P50" s="36"/>
      <c r="Q50" s="285"/>
      <c r="R50" s="286"/>
      <c r="S50" s="286"/>
      <c r="T50" s="286"/>
      <c r="U50" s="287"/>
      <c r="V50" s="37">
        <f t="shared" si="1"/>
        <v>0</v>
      </c>
      <c r="W50" s="288"/>
      <c r="X50" s="288"/>
      <c r="Y50" s="288"/>
      <c r="Z50" s="288"/>
      <c r="AA50" s="288"/>
      <c r="AB50" s="288"/>
      <c r="AC50" s="13"/>
    </row>
    <row r="51" spans="1:29" s="2" customFormat="1">
      <c r="A51" s="15">
        <f t="shared" si="2"/>
        <v>47</v>
      </c>
      <c r="B51" s="340">
        <f t="shared" si="0"/>
        <v>0</v>
      </c>
      <c r="C51" s="341"/>
      <c r="D51" s="341"/>
      <c r="E51" s="341"/>
      <c r="F51" s="342"/>
      <c r="G51" s="340" t="str">
        <f t="shared" si="3"/>
        <v/>
      </c>
      <c r="H51" s="341"/>
      <c r="I51" s="341"/>
      <c r="J51" s="342"/>
      <c r="K51" s="364">
        <f t="shared" si="4"/>
        <v>0</v>
      </c>
      <c r="L51" s="365"/>
      <c r="M51" s="38"/>
      <c r="N51" s="39"/>
      <c r="O51" s="40"/>
      <c r="P51" s="40"/>
      <c r="Q51" s="305"/>
      <c r="R51" s="306"/>
      <c r="S51" s="306"/>
      <c r="T51" s="306"/>
      <c r="U51" s="307"/>
      <c r="V51" s="41">
        <f t="shared" si="1"/>
        <v>0</v>
      </c>
      <c r="W51" s="310"/>
      <c r="X51" s="310"/>
      <c r="Y51" s="310"/>
      <c r="Z51" s="310"/>
      <c r="AA51" s="310"/>
      <c r="AB51" s="310"/>
      <c r="AC51" s="13"/>
    </row>
    <row r="52" spans="1:29" s="2" customFormat="1">
      <c r="A52" s="14">
        <f t="shared" si="2"/>
        <v>48</v>
      </c>
      <c r="B52" s="359">
        <f t="shared" si="0"/>
        <v>0</v>
      </c>
      <c r="C52" s="360"/>
      <c r="D52" s="360"/>
      <c r="E52" s="360"/>
      <c r="F52" s="361"/>
      <c r="G52" s="359" t="str">
        <f t="shared" si="3"/>
        <v/>
      </c>
      <c r="H52" s="360"/>
      <c r="I52" s="360"/>
      <c r="J52" s="361"/>
      <c r="K52" s="362">
        <f t="shared" si="4"/>
        <v>0</v>
      </c>
      <c r="L52" s="363"/>
      <c r="M52" s="34"/>
      <c r="N52" s="35"/>
      <c r="O52" s="36"/>
      <c r="P52" s="36"/>
      <c r="Q52" s="285"/>
      <c r="R52" s="286"/>
      <c r="S52" s="286"/>
      <c r="T52" s="286"/>
      <c r="U52" s="287"/>
      <c r="V52" s="37">
        <f t="shared" si="1"/>
        <v>0</v>
      </c>
      <c r="W52" s="288"/>
      <c r="X52" s="288"/>
      <c r="Y52" s="288"/>
      <c r="Z52" s="288"/>
      <c r="AA52" s="288"/>
      <c r="AB52" s="288"/>
      <c r="AC52" s="13"/>
    </row>
    <row r="53" spans="1:29" s="2" customFormat="1">
      <c r="A53" s="15">
        <f t="shared" si="2"/>
        <v>49</v>
      </c>
      <c r="B53" s="340">
        <f t="shared" si="0"/>
        <v>0</v>
      </c>
      <c r="C53" s="341"/>
      <c r="D53" s="341"/>
      <c r="E53" s="341"/>
      <c r="F53" s="342"/>
      <c r="G53" s="340" t="str">
        <f t="shared" si="3"/>
        <v/>
      </c>
      <c r="H53" s="341"/>
      <c r="I53" s="341"/>
      <c r="J53" s="342"/>
      <c r="K53" s="364">
        <f t="shared" si="4"/>
        <v>0</v>
      </c>
      <c r="L53" s="365"/>
      <c r="M53" s="38"/>
      <c r="N53" s="39"/>
      <c r="O53" s="40"/>
      <c r="P53" s="40"/>
      <c r="Q53" s="305"/>
      <c r="R53" s="306"/>
      <c r="S53" s="306"/>
      <c r="T53" s="306"/>
      <c r="U53" s="307"/>
      <c r="V53" s="41">
        <f t="shared" si="1"/>
        <v>0</v>
      </c>
      <c r="W53" s="310"/>
      <c r="X53" s="310"/>
      <c r="Y53" s="310"/>
      <c r="Z53" s="310"/>
      <c r="AA53" s="310"/>
      <c r="AB53" s="310"/>
      <c r="AC53" s="13"/>
    </row>
    <row r="54" spans="1:29" s="2" customFormat="1">
      <c r="A54" s="14">
        <f t="shared" si="2"/>
        <v>50</v>
      </c>
      <c r="B54" s="359">
        <f t="shared" si="0"/>
        <v>0</v>
      </c>
      <c r="C54" s="360"/>
      <c r="D54" s="360"/>
      <c r="E54" s="360"/>
      <c r="F54" s="361"/>
      <c r="G54" s="359" t="str">
        <f t="shared" si="3"/>
        <v/>
      </c>
      <c r="H54" s="360"/>
      <c r="I54" s="360"/>
      <c r="J54" s="361"/>
      <c r="K54" s="362">
        <f t="shared" si="4"/>
        <v>0</v>
      </c>
      <c r="L54" s="363"/>
      <c r="M54" s="34"/>
      <c r="N54" s="35"/>
      <c r="O54" s="36"/>
      <c r="P54" s="36"/>
      <c r="Q54" s="285"/>
      <c r="R54" s="286"/>
      <c r="S54" s="286"/>
      <c r="T54" s="286"/>
      <c r="U54" s="287"/>
      <c r="V54" s="37">
        <f t="shared" si="1"/>
        <v>0</v>
      </c>
      <c r="W54" s="288"/>
      <c r="X54" s="288"/>
      <c r="Y54" s="288"/>
      <c r="Z54" s="288"/>
      <c r="AA54" s="288"/>
      <c r="AB54" s="288"/>
      <c r="AC54" s="13"/>
    </row>
    <row r="55" spans="1:29">
      <c r="A55" s="4">
        <f t="shared" si="2"/>
        <v>51</v>
      </c>
      <c r="B55" s="340">
        <f t="shared" si="0"/>
        <v>0</v>
      </c>
      <c r="C55" s="341"/>
      <c r="D55" s="341"/>
      <c r="E55" s="341"/>
      <c r="F55" s="342"/>
      <c r="G55" s="340" t="str">
        <f t="shared" si="3"/>
        <v/>
      </c>
      <c r="H55" s="341"/>
      <c r="I55" s="341"/>
      <c r="J55" s="342"/>
      <c r="K55" s="364">
        <f t="shared" si="4"/>
        <v>0</v>
      </c>
      <c r="L55" s="365"/>
      <c r="M55" s="38"/>
      <c r="N55" s="39"/>
      <c r="O55" s="40"/>
      <c r="P55" s="40"/>
      <c r="Q55" s="305"/>
      <c r="R55" s="306"/>
      <c r="S55" s="306"/>
      <c r="T55" s="306"/>
      <c r="U55" s="307"/>
      <c r="V55" s="41">
        <f t="shared" si="1"/>
        <v>0</v>
      </c>
      <c r="W55" s="310"/>
      <c r="X55" s="310"/>
      <c r="Y55" s="310"/>
      <c r="Z55" s="310"/>
      <c r="AA55" s="310"/>
      <c r="AB55" s="310"/>
    </row>
    <row r="56" spans="1:29">
      <c r="A56" s="8">
        <f t="shared" si="2"/>
        <v>52</v>
      </c>
      <c r="B56" s="359">
        <f t="shared" si="0"/>
        <v>0</v>
      </c>
      <c r="C56" s="360"/>
      <c r="D56" s="360"/>
      <c r="E56" s="360"/>
      <c r="F56" s="361"/>
      <c r="G56" s="359" t="str">
        <f t="shared" si="3"/>
        <v/>
      </c>
      <c r="H56" s="360"/>
      <c r="I56" s="360"/>
      <c r="J56" s="361"/>
      <c r="K56" s="362">
        <f t="shared" si="4"/>
        <v>0</v>
      </c>
      <c r="L56" s="363"/>
      <c r="M56" s="34"/>
      <c r="N56" s="35"/>
      <c r="O56" s="36"/>
      <c r="P56" s="36"/>
      <c r="Q56" s="285"/>
      <c r="R56" s="286"/>
      <c r="S56" s="286"/>
      <c r="T56" s="286"/>
      <c r="U56" s="287"/>
      <c r="V56" s="37">
        <f t="shared" si="1"/>
        <v>0</v>
      </c>
      <c r="W56" s="288"/>
      <c r="X56" s="288"/>
      <c r="Y56" s="288"/>
      <c r="Z56" s="288"/>
      <c r="AA56" s="288"/>
      <c r="AB56" s="288"/>
    </row>
    <row r="57" spans="1:29" s="2" customFormat="1">
      <c r="A57" s="15">
        <f t="shared" si="2"/>
        <v>53</v>
      </c>
      <c r="B57" s="340">
        <f t="shared" si="0"/>
        <v>0</v>
      </c>
      <c r="C57" s="341"/>
      <c r="D57" s="341"/>
      <c r="E57" s="341"/>
      <c r="F57" s="342"/>
      <c r="G57" s="340" t="str">
        <f t="shared" si="3"/>
        <v/>
      </c>
      <c r="H57" s="341"/>
      <c r="I57" s="341"/>
      <c r="J57" s="342"/>
      <c r="K57" s="364">
        <f t="shared" si="4"/>
        <v>0</v>
      </c>
      <c r="L57" s="365"/>
      <c r="M57" s="38"/>
      <c r="N57" s="39"/>
      <c r="O57" s="40"/>
      <c r="P57" s="40"/>
      <c r="Q57" s="305"/>
      <c r="R57" s="306"/>
      <c r="S57" s="306"/>
      <c r="T57" s="306"/>
      <c r="U57" s="307"/>
      <c r="V57" s="41">
        <f t="shared" si="1"/>
        <v>0</v>
      </c>
      <c r="W57" s="310"/>
      <c r="X57" s="310"/>
      <c r="Y57" s="310"/>
      <c r="Z57" s="310"/>
      <c r="AA57" s="310"/>
      <c r="AB57" s="310"/>
      <c r="AC57" s="13"/>
    </row>
    <row r="58" spans="1:29" s="2" customFormat="1">
      <c r="A58" s="14">
        <f t="shared" si="2"/>
        <v>54</v>
      </c>
      <c r="B58" s="359">
        <f t="shared" si="0"/>
        <v>0</v>
      </c>
      <c r="C58" s="360"/>
      <c r="D58" s="360"/>
      <c r="E58" s="360"/>
      <c r="F58" s="361"/>
      <c r="G58" s="359" t="str">
        <f t="shared" si="3"/>
        <v/>
      </c>
      <c r="H58" s="360"/>
      <c r="I58" s="360"/>
      <c r="J58" s="361"/>
      <c r="K58" s="362">
        <f t="shared" si="4"/>
        <v>0</v>
      </c>
      <c r="L58" s="363"/>
      <c r="M58" s="34"/>
      <c r="N58" s="35"/>
      <c r="O58" s="36"/>
      <c r="P58" s="36"/>
      <c r="Q58" s="285"/>
      <c r="R58" s="286"/>
      <c r="S58" s="286"/>
      <c r="T58" s="286"/>
      <c r="U58" s="287"/>
      <c r="V58" s="37">
        <f t="shared" si="1"/>
        <v>0</v>
      </c>
      <c r="W58" s="288"/>
      <c r="X58" s="288"/>
      <c r="Y58" s="288"/>
      <c r="Z58" s="288"/>
      <c r="AA58" s="288"/>
      <c r="AB58" s="288"/>
      <c r="AC58" s="13"/>
    </row>
    <row r="59" spans="1:29" s="2" customFormat="1">
      <c r="A59" s="15">
        <f t="shared" si="2"/>
        <v>55</v>
      </c>
      <c r="B59" s="340">
        <f t="shared" si="0"/>
        <v>0</v>
      </c>
      <c r="C59" s="341"/>
      <c r="D59" s="341"/>
      <c r="E59" s="341"/>
      <c r="F59" s="342"/>
      <c r="G59" s="340" t="str">
        <f t="shared" si="3"/>
        <v/>
      </c>
      <c r="H59" s="341"/>
      <c r="I59" s="341"/>
      <c r="J59" s="342"/>
      <c r="K59" s="364">
        <f t="shared" si="4"/>
        <v>0</v>
      </c>
      <c r="L59" s="365"/>
      <c r="M59" s="38"/>
      <c r="N59" s="39"/>
      <c r="O59" s="40"/>
      <c r="P59" s="40"/>
      <c r="Q59" s="305"/>
      <c r="R59" s="306"/>
      <c r="S59" s="306"/>
      <c r="T59" s="306"/>
      <c r="U59" s="307"/>
      <c r="V59" s="41">
        <f t="shared" si="1"/>
        <v>0</v>
      </c>
      <c r="W59" s="310"/>
      <c r="X59" s="310"/>
      <c r="Y59" s="310"/>
      <c r="Z59" s="310"/>
      <c r="AA59" s="310"/>
      <c r="AB59" s="310"/>
      <c r="AC59" s="13"/>
    </row>
    <row r="60" spans="1:29" s="2" customFormat="1">
      <c r="A60" s="14">
        <f t="shared" si="2"/>
        <v>56</v>
      </c>
      <c r="B60" s="359">
        <f t="shared" si="0"/>
        <v>0</v>
      </c>
      <c r="C60" s="360"/>
      <c r="D60" s="360"/>
      <c r="E60" s="360"/>
      <c r="F60" s="361"/>
      <c r="G60" s="359" t="str">
        <f t="shared" si="3"/>
        <v/>
      </c>
      <c r="H60" s="360"/>
      <c r="I60" s="360"/>
      <c r="J60" s="361"/>
      <c r="K60" s="362">
        <f t="shared" si="4"/>
        <v>0</v>
      </c>
      <c r="L60" s="363"/>
      <c r="M60" s="34"/>
      <c r="N60" s="35"/>
      <c r="O60" s="36"/>
      <c r="P60" s="36"/>
      <c r="Q60" s="285"/>
      <c r="R60" s="286"/>
      <c r="S60" s="286"/>
      <c r="T60" s="286"/>
      <c r="U60" s="287"/>
      <c r="V60" s="37">
        <f t="shared" si="1"/>
        <v>0</v>
      </c>
      <c r="W60" s="288"/>
      <c r="X60" s="288"/>
      <c r="Y60" s="288"/>
      <c r="Z60" s="288"/>
      <c r="AA60" s="288"/>
      <c r="AB60" s="288"/>
      <c r="AC60" s="13"/>
    </row>
    <row r="61" spans="1:29" s="2" customFormat="1">
      <c r="A61" s="15">
        <f t="shared" si="2"/>
        <v>57</v>
      </c>
      <c r="B61" s="340">
        <f t="shared" si="0"/>
        <v>0</v>
      </c>
      <c r="C61" s="341"/>
      <c r="D61" s="341"/>
      <c r="E61" s="341"/>
      <c r="F61" s="342"/>
      <c r="G61" s="340" t="str">
        <f t="shared" si="3"/>
        <v/>
      </c>
      <c r="H61" s="341"/>
      <c r="I61" s="341"/>
      <c r="J61" s="342"/>
      <c r="K61" s="364">
        <f t="shared" si="4"/>
        <v>0</v>
      </c>
      <c r="L61" s="365"/>
      <c r="M61" s="38"/>
      <c r="N61" s="39"/>
      <c r="O61" s="40"/>
      <c r="P61" s="40"/>
      <c r="Q61" s="305"/>
      <c r="R61" s="306"/>
      <c r="S61" s="306"/>
      <c r="T61" s="306"/>
      <c r="U61" s="307"/>
      <c r="V61" s="41">
        <f t="shared" si="1"/>
        <v>0</v>
      </c>
      <c r="W61" s="310"/>
      <c r="X61" s="310"/>
      <c r="Y61" s="310"/>
      <c r="Z61" s="310"/>
      <c r="AA61" s="310"/>
      <c r="AB61" s="310"/>
      <c r="AC61" s="13"/>
    </row>
    <row r="62" spans="1:29" s="2" customFormat="1">
      <c r="A62" s="14">
        <f t="shared" si="2"/>
        <v>58</v>
      </c>
      <c r="B62" s="359">
        <f t="shared" si="0"/>
        <v>0</v>
      </c>
      <c r="C62" s="360"/>
      <c r="D62" s="360"/>
      <c r="E62" s="360"/>
      <c r="F62" s="361"/>
      <c r="G62" s="359" t="str">
        <f t="shared" si="3"/>
        <v/>
      </c>
      <c r="H62" s="360"/>
      <c r="I62" s="360"/>
      <c r="J62" s="361"/>
      <c r="K62" s="362">
        <f t="shared" si="4"/>
        <v>0</v>
      </c>
      <c r="L62" s="363"/>
      <c r="M62" s="34"/>
      <c r="N62" s="35"/>
      <c r="O62" s="36"/>
      <c r="P62" s="36"/>
      <c r="Q62" s="285"/>
      <c r="R62" s="286"/>
      <c r="S62" s="286"/>
      <c r="T62" s="286"/>
      <c r="U62" s="287"/>
      <c r="V62" s="37">
        <f t="shared" si="1"/>
        <v>0</v>
      </c>
      <c r="W62" s="288"/>
      <c r="X62" s="288"/>
      <c r="Y62" s="288"/>
      <c r="Z62" s="288"/>
      <c r="AA62" s="288"/>
      <c r="AB62" s="288"/>
      <c r="AC62" s="13"/>
    </row>
    <row r="63" spans="1:29">
      <c r="A63" s="4">
        <f t="shared" si="2"/>
        <v>59</v>
      </c>
      <c r="B63" s="340">
        <f t="shared" si="0"/>
        <v>0</v>
      </c>
      <c r="C63" s="341"/>
      <c r="D63" s="341"/>
      <c r="E63" s="341"/>
      <c r="F63" s="342"/>
      <c r="G63" s="340" t="str">
        <f t="shared" si="3"/>
        <v/>
      </c>
      <c r="H63" s="341"/>
      <c r="I63" s="341"/>
      <c r="J63" s="342"/>
      <c r="K63" s="364">
        <f t="shared" si="4"/>
        <v>0</v>
      </c>
      <c r="L63" s="365"/>
      <c r="M63" s="38"/>
      <c r="N63" s="39"/>
      <c r="O63" s="40"/>
      <c r="P63" s="40"/>
      <c r="Q63" s="305"/>
      <c r="R63" s="306"/>
      <c r="S63" s="306"/>
      <c r="T63" s="306"/>
      <c r="U63" s="307"/>
      <c r="V63" s="41">
        <f t="shared" si="1"/>
        <v>0</v>
      </c>
      <c r="W63" s="310"/>
      <c r="X63" s="310"/>
      <c r="Y63" s="310"/>
      <c r="Z63" s="310"/>
      <c r="AA63" s="310"/>
      <c r="AB63" s="310"/>
    </row>
    <row r="64" spans="1:29">
      <c r="A64" s="8">
        <f t="shared" si="2"/>
        <v>60</v>
      </c>
      <c r="B64" s="359">
        <f t="shared" si="0"/>
        <v>0</v>
      </c>
      <c r="C64" s="360"/>
      <c r="D64" s="360"/>
      <c r="E64" s="360"/>
      <c r="F64" s="361"/>
      <c r="G64" s="359" t="str">
        <f t="shared" si="3"/>
        <v/>
      </c>
      <c r="H64" s="360"/>
      <c r="I64" s="360"/>
      <c r="J64" s="361"/>
      <c r="K64" s="362">
        <f t="shared" si="4"/>
        <v>0</v>
      </c>
      <c r="L64" s="363"/>
      <c r="M64" s="34"/>
      <c r="N64" s="35"/>
      <c r="O64" s="36"/>
      <c r="P64" s="36"/>
      <c r="Q64" s="285"/>
      <c r="R64" s="286"/>
      <c r="S64" s="286"/>
      <c r="T64" s="286"/>
      <c r="U64" s="287"/>
      <c r="V64" s="37">
        <f t="shared" si="1"/>
        <v>0</v>
      </c>
      <c r="W64" s="288"/>
      <c r="X64" s="288"/>
      <c r="Y64" s="288"/>
      <c r="Z64" s="288"/>
      <c r="AA64" s="288"/>
      <c r="AB64" s="288"/>
    </row>
    <row r="65" spans="1:29">
      <c r="A65" s="15">
        <f t="shared" si="2"/>
        <v>61</v>
      </c>
      <c r="B65" s="340">
        <f t="shared" si="0"/>
        <v>0</v>
      </c>
      <c r="C65" s="341"/>
      <c r="D65" s="341"/>
      <c r="E65" s="341"/>
      <c r="F65" s="342"/>
      <c r="G65" s="340" t="str">
        <f t="shared" si="3"/>
        <v/>
      </c>
      <c r="H65" s="341"/>
      <c r="I65" s="341"/>
      <c r="J65" s="342"/>
      <c r="K65" s="364">
        <f t="shared" si="4"/>
        <v>0</v>
      </c>
      <c r="L65" s="365"/>
      <c r="M65" s="38"/>
      <c r="N65" s="39"/>
      <c r="O65" s="40"/>
      <c r="P65" s="40"/>
      <c r="Q65" s="305"/>
      <c r="R65" s="306"/>
      <c r="S65" s="306"/>
      <c r="T65" s="306"/>
      <c r="U65" s="307"/>
      <c r="V65" s="41">
        <f t="shared" si="1"/>
        <v>0</v>
      </c>
      <c r="W65" s="310"/>
      <c r="X65" s="310"/>
      <c r="Y65" s="310"/>
      <c r="Z65" s="310"/>
      <c r="AA65" s="310"/>
      <c r="AB65" s="310"/>
    </row>
    <row r="66" spans="1:29" s="2" customFormat="1">
      <c r="A66" s="14">
        <f t="shared" si="2"/>
        <v>62</v>
      </c>
      <c r="B66" s="359">
        <f t="shared" si="0"/>
        <v>0</v>
      </c>
      <c r="C66" s="360"/>
      <c r="D66" s="360"/>
      <c r="E66" s="360"/>
      <c r="F66" s="361"/>
      <c r="G66" s="359" t="str">
        <f t="shared" si="3"/>
        <v/>
      </c>
      <c r="H66" s="360"/>
      <c r="I66" s="360"/>
      <c r="J66" s="361"/>
      <c r="K66" s="362">
        <f t="shared" si="4"/>
        <v>0</v>
      </c>
      <c r="L66" s="363"/>
      <c r="M66" s="34"/>
      <c r="N66" s="35"/>
      <c r="O66" s="36"/>
      <c r="P66" s="36"/>
      <c r="Q66" s="285"/>
      <c r="R66" s="286"/>
      <c r="S66" s="286"/>
      <c r="T66" s="286"/>
      <c r="U66" s="287"/>
      <c r="V66" s="37">
        <f t="shared" si="1"/>
        <v>0</v>
      </c>
      <c r="W66" s="288"/>
      <c r="X66" s="288"/>
      <c r="Y66" s="288"/>
      <c r="Z66" s="288"/>
      <c r="AA66" s="288"/>
      <c r="AB66" s="288"/>
      <c r="AC66" s="13"/>
    </row>
    <row r="67" spans="1:29" s="2" customFormat="1">
      <c r="A67" s="15">
        <f t="shared" si="2"/>
        <v>63</v>
      </c>
      <c r="B67" s="340">
        <f t="shared" si="0"/>
        <v>0</v>
      </c>
      <c r="C67" s="341"/>
      <c r="D67" s="341"/>
      <c r="E67" s="341"/>
      <c r="F67" s="342"/>
      <c r="G67" s="340" t="str">
        <f t="shared" si="3"/>
        <v/>
      </c>
      <c r="H67" s="341"/>
      <c r="I67" s="341"/>
      <c r="J67" s="342"/>
      <c r="K67" s="364">
        <f t="shared" si="4"/>
        <v>0</v>
      </c>
      <c r="L67" s="365"/>
      <c r="M67" s="38"/>
      <c r="N67" s="39"/>
      <c r="O67" s="40"/>
      <c r="P67" s="40"/>
      <c r="Q67" s="305"/>
      <c r="R67" s="306"/>
      <c r="S67" s="306"/>
      <c r="T67" s="306"/>
      <c r="U67" s="307"/>
      <c r="V67" s="41">
        <f t="shared" si="1"/>
        <v>0</v>
      </c>
      <c r="W67" s="310"/>
      <c r="X67" s="310"/>
      <c r="Y67" s="310"/>
      <c r="Z67" s="310"/>
      <c r="AA67" s="310"/>
      <c r="AB67" s="310"/>
      <c r="AC67" s="13"/>
    </row>
    <row r="68" spans="1:29" s="2" customFormat="1">
      <c r="A68" s="14">
        <f t="shared" si="2"/>
        <v>64</v>
      </c>
      <c r="B68" s="359">
        <f t="shared" si="0"/>
        <v>0</v>
      </c>
      <c r="C68" s="360"/>
      <c r="D68" s="360"/>
      <c r="E68" s="360"/>
      <c r="F68" s="361"/>
      <c r="G68" s="359" t="str">
        <f t="shared" si="3"/>
        <v/>
      </c>
      <c r="H68" s="360"/>
      <c r="I68" s="360"/>
      <c r="J68" s="361"/>
      <c r="K68" s="362">
        <f t="shared" si="4"/>
        <v>0</v>
      </c>
      <c r="L68" s="363"/>
      <c r="M68" s="34"/>
      <c r="N68" s="35"/>
      <c r="O68" s="36"/>
      <c r="P68" s="36"/>
      <c r="Q68" s="285"/>
      <c r="R68" s="286"/>
      <c r="S68" s="286"/>
      <c r="T68" s="286"/>
      <c r="U68" s="287"/>
      <c r="V68" s="37">
        <f t="shared" si="1"/>
        <v>0</v>
      </c>
      <c r="W68" s="288"/>
      <c r="X68" s="288"/>
      <c r="Y68" s="288"/>
      <c r="Z68" s="288"/>
      <c r="AA68" s="288"/>
      <c r="AB68" s="288"/>
      <c r="AC68" s="13"/>
    </row>
    <row r="69" spans="1:29" s="2" customFormat="1">
      <c r="A69" s="15">
        <f t="shared" si="2"/>
        <v>65</v>
      </c>
      <c r="B69" s="340">
        <f t="shared" ref="B69:B76" si="5">AC69</f>
        <v>0</v>
      </c>
      <c r="C69" s="341"/>
      <c r="D69" s="341"/>
      <c r="E69" s="341"/>
      <c r="F69" s="342"/>
      <c r="G69" s="340" t="str">
        <f t="shared" si="3"/>
        <v/>
      </c>
      <c r="H69" s="341"/>
      <c r="I69" s="341"/>
      <c r="J69" s="342"/>
      <c r="K69" s="364">
        <f t="shared" si="4"/>
        <v>0</v>
      </c>
      <c r="L69" s="365"/>
      <c r="M69" s="38"/>
      <c r="N69" s="39"/>
      <c r="O69" s="40"/>
      <c r="P69" s="40"/>
      <c r="Q69" s="305"/>
      <c r="R69" s="306"/>
      <c r="S69" s="306"/>
      <c r="T69" s="306"/>
      <c r="U69" s="307"/>
      <c r="V69" s="41">
        <f t="shared" si="1"/>
        <v>0</v>
      </c>
      <c r="W69" s="310"/>
      <c r="X69" s="310"/>
      <c r="Y69" s="310"/>
      <c r="Z69" s="310"/>
      <c r="AA69" s="310"/>
      <c r="AB69" s="310"/>
      <c r="AC69" s="13"/>
    </row>
    <row r="70" spans="1:29" s="2" customFormat="1">
      <c r="A70" s="14">
        <f t="shared" si="2"/>
        <v>66</v>
      </c>
      <c r="B70" s="359">
        <f t="shared" si="5"/>
        <v>0</v>
      </c>
      <c r="C70" s="360"/>
      <c r="D70" s="360"/>
      <c r="E70" s="360"/>
      <c r="F70" s="361"/>
      <c r="G70" s="359" t="str">
        <f t="shared" si="3"/>
        <v/>
      </c>
      <c r="H70" s="360"/>
      <c r="I70" s="360"/>
      <c r="J70" s="361"/>
      <c r="K70" s="362">
        <f t="shared" si="4"/>
        <v>0</v>
      </c>
      <c r="L70" s="363"/>
      <c r="M70" s="34"/>
      <c r="N70" s="35"/>
      <c r="O70" s="36"/>
      <c r="P70" s="36"/>
      <c r="Q70" s="285"/>
      <c r="R70" s="286"/>
      <c r="S70" s="286"/>
      <c r="T70" s="286"/>
      <c r="U70" s="287"/>
      <c r="V70" s="37">
        <f t="shared" ref="V70:V76" si="6">AG70</f>
        <v>0</v>
      </c>
      <c r="W70" s="288"/>
      <c r="X70" s="288"/>
      <c r="Y70" s="288"/>
      <c r="Z70" s="288"/>
      <c r="AA70" s="288"/>
      <c r="AB70" s="288"/>
      <c r="AC70" s="13"/>
    </row>
    <row r="71" spans="1:29">
      <c r="A71" s="4">
        <f t="shared" ref="A71:A80" si="7">ROW()-4</f>
        <v>67</v>
      </c>
      <c r="B71" s="340">
        <f t="shared" si="5"/>
        <v>0</v>
      </c>
      <c r="C71" s="341"/>
      <c r="D71" s="341"/>
      <c r="E71" s="341"/>
      <c r="F71" s="342"/>
      <c r="G71" s="340" t="str">
        <f t="shared" ref="G71:G76" si="8">UPPER(AF71)</f>
        <v/>
      </c>
      <c r="H71" s="341"/>
      <c r="I71" s="341"/>
      <c r="J71" s="342"/>
      <c r="K71" s="364">
        <f t="shared" ref="K71:K76" si="9">AH71</f>
        <v>0</v>
      </c>
      <c r="L71" s="365"/>
      <c r="M71" s="38"/>
      <c r="N71" s="39"/>
      <c r="O71" s="40"/>
      <c r="P71" s="40"/>
      <c r="Q71" s="305"/>
      <c r="R71" s="306"/>
      <c r="S71" s="306"/>
      <c r="T71" s="306"/>
      <c r="U71" s="307"/>
      <c r="V71" s="41">
        <f t="shared" si="6"/>
        <v>0</v>
      </c>
      <c r="W71" s="310"/>
      <c r="X71" s="310"/>
      <c r="Y71" s="310"/>
      <c r="Z71" s="310"/>
      <c r="AA71" s="310"/>
      <c r="AB71" s="310"/>
    </row>
    <row r="72" spans="1:29">
      <c r="A72" s="8">
        <f t="shared" si="7"/>
        <v>68</v>
      </c>
      <c r="B72" s="359">
        <f t="shared" si="5"/>
        <v>0</v>
      </c>
      <c r="C72" s="360"/>
      <c r="D72" s="360"/>
      <c r="E72" s="360"/>
      <c r="F72" s="361"/>
      <c r="G72" s="359" t="str">
        <f t="shared" si="8"/>
        <v/>
      </c>
      <c r="H72" s="360"/>
      <c r="I72" s="360"/>
      <c r="J72" s="361"/>
      <c r="K72" s="362">
        <f t="shared" si="9"/>
        <v>0</v>
      </c>
      <c r="L72" s="363"/>
      <c r="M72" s="34"/>
      <c r="N72" s="35"/>
      <c r="O72" s="36"/>
      <c r="P72" s="36"/>
      <c r="Q72" s="285"/>
      <c r="R72" s="286"/>
      <c r="S72" s="286"/>
      <c r="T72" s="286"/>
      <c r="U72" s="287"/>
      <c r="V72" s="37">
        <f t="shared" si="6"/>
        <v>0</v>
      </c>
      <c r="W72" s="288"/>
      <c r="X72" s="288"/>
      <c r="Y72" s="288"/>
      <c r="Z72" s="288"/>
      <c r="AA72" s="288"/>
      <c r="AB72" s="288"/>
    </row>
    <row r="73" spans="1:29" s="2" customFormat="1">
      <c r="A73" s="15">
        <f t="shared" si="7"/>
        <v>69</v>
      </c>
      <c r="B73" s="340">
        <f t="shared" si="5"/>
        <v>0</v>
      </c>
      <c r="C73" s="341"/>
      <c r="D73" s="341"/>
      <c r="E73" s="341"/>
      <c r="F73" s="342"/>
      <c r="G73" s="340" t="str">
        <f t="shared" si="8"/>
        <v/>
      </c>
      <c r="H73" s="341"/>
      <c r="I73" s="341"/>
      <c r="J73" s="342"/>
      <c r="K73" s="364">
        <f t="shared" si="9"/>
        <v>0</v>
      </c>
      <c r="L73" s="365"/>
      <c r="M73" s="38"/>
      <c r="N73" s="39"/>
      <c r="O73" s="40"/>
      <c r="P73" s="40"/>
      <c r="Q73" s="305"/>
      <c r="R73" s="306"/>
      <c r="S73" s="306"/>
      <c r="T73" s="306"/>
      <c r="U73" s="307"/>
      <c r="V73" s="41">
        <f t="shared" si="6"/>
        <v>0</v>
      </c>
      <c r="W73" s="310"/>
      <c r="X73" s="310"/>
      <c r="Y73" s="310"/>
      <c r="Z73" s="310"/>
      <c r="AA73" s="310"/>
      <c r="AB73" s="310"/>
      <c r="AC73" s="13"/>
    </row>
    <row r="74" spans="1:29" s="2" customFormat="1">
      <c r="A74" s="14">
        <f t="shared" si="7"/>
        <v>70</v>
      </c>
      <c r="B74" s="359">
        <f t="shared" si="5"/>
        <v>0</v>
      </c>
      <c r="C74" s="360"/>
      <c r="D74" s="360"/>
      <c r="E74" s="360"/>
      <c r="F74" s="361"/>
      <c r="G74" s="359" t="str">
        <f t="shared" si="8"/>
        <v/>
      </c>
      <c r="H74" s="360"/>
      <c r="I74" s="360"/>
      <c r="J74" s="361"/>
      <c r="K74" s="362">
        <f t="shared" si="9"/>
        <v>0</v>
      </c>
      <c r="L74" s="363"/>
      <c r="M74" s="34"/>
      <c r="N74" s="35"/>
      <c r="O74" s="36"/>
      <c r="P74" s="36"/>
      <c r="Q74" s="285"/>
      <c r="R74" s="286"/>
      <c r="S74" s="286"/>
      <c r="T74" s="286"/>
      <c r="U74" s="287"/>
      <c r="V74" s="37">
        <f t="shared" si="6"/>
        <v>0</v>
      </c>
      <c r="W74" s="288"/>
      <c r="X74" s="288"/>
      <c r="Y74" s="288"/>
      <c r="Z74" s="288"/>
      <c r="AA74" s="288"/>
      <c r="AB74" s="288"/>
      <c r="AC74" s="13"/>
    </row>
    <row r="75" spans="1:29" s="2" customFormat="1">
      <c r="A75" s="15">
        <f t="shared" si="7"/>
        <v>71</v>
      </c>
      <c r="B75" s="340">
        <f t="shared" si="5"/>
        <v>0</v>
      </c>
      <c r="C75" s="341"/>
      <c r="D75" s="341"/>
      <c r="E75" s="341"/>
      <c r="F75" s="342"/>
      <c r="G75" s="340" t="str">
        <f t="shared" si="8"/>
        <v/>
      </c>
      <c r="H75" s="341"/>
      <c r="I75" s="341"/>
      <c r="J75" s="342"/>
      <c r="K75" s="364">
        <f t="shared" si="9"/>
        <v>0</v>
      </c>
      <c r="L75" s="365"/>
      <c r="M75" s="38"/>
      <c r="N75" s="39"/>
      <c r="O75" s="40"/>
      <c r="P75" s="40"/>
      <c r="Q75" s="305"/>
      <c r="R75" s="306"/>
      <c r="S75" s="306"/>
      <c r="T75" s="306"/>
      <c r="U75" s="307"/>
      <c r="V75" s="41">
        <f t="shared" si="6"/>
        <v>0</v>
      </c>
      <c r="W75" s="310"/>
      <c r="X75" s="310"/>
      <c r="Y75" s="310"/>
      <c r="Z75" s="310"/>
      <c r="AA75" s="310"/>
      <c r="AB75" s="310"/>
      <c r="AC75" s="13"/>
    </row>
    <row r="76" spans="1:29" s="2" customFormat="1">
      <c r="A76" s="14">
        <f t="shared" si="7"/>
        <v>72</v>
      </c>
      <c r="B76" s="359">
        <f t="shared" si="5"/>
        <v>0</v>
      </c>
      <c r="C76" s="360"/>
      <c r="D76" s="360"/>
      <c r="E76" s="360"/>
      <c r="F76" s="361"/>
      <c r="G76" s="359" t="str">
        <f t="shared" si="8"/>
        <v/>
      </c>
      <c r="H76" s="360"/>
      <c r="I76" s="360"/>
      <c r="J76" s="361"/>
      <c r="K76" s="362">
        <f t="shared" si="9"/>
        <v>0</v>
      </c>
      <c r="L76" s="363"/>
      <c r="M76" s="34"/>
      <c r="N76" s="35"/>
      <c r="O76" s="36"/>
      <c r="P76" s="36"/>
      <c r="Q76" s="285"/>
      <c r="R76" s="286"/>
      <c r="S76" s="286"/>
      <c r="T76" s="286"/>
      <c r="U76" s="287"/>
      <c r="V76" s="37">
        <f t="shared" si="6"/>
        <v>0</v>
      </c>
      <c r="W76" s="288"/>
      <c r="X76" s="288"/>
      <c r="Y76" s="288"/>
      <c r="Z76" s="288"/>
      <c r="AA76" s="288"/>
      <c r="AB76" s="288"/>
      <c r="AC76" s="13"/>
    </row>
    <row r="77" spans="1:29" s="2" customFormat="1">
      <c r="A77" s="15">
        <f t="shared" si="7"/>
        <v>73</v>
      </c>
      <c r="B77" s="340" t="s">
        <v>67</v>
      </c>
      <c r="C77" s="341"/>
      <c r="D77" s="341"/>
      <c r="E77" s="341"/>
      <c r="F77" s="342"/>
      <c r="G77" s="340" t="s">
        <v>48</v>
      </c>
      <c r="H77" s="341"/>
      <c r="I77" s="341"/>
      <c r="J77" s="342"/>
      <c r="K77" s="364" t="s">
        <v>49</v>
      </c>
      <c r="L77" s="365"/>
      <c r="M77" s="38"/>
      <c r="N77" s="39"/>
      <c r="O77" s="40"/>
      <c r="P77" s="40"/>
      <c r="Q77" s="305"/>
      <c r="R77" s="306"/>
      <c r="S77" s="306"/>
      <c r="T77" s="306"/>
      <c r="U77" s="307"/>
      <c r="V77" s="41"/>
      <c r="W77" s="310"/>
      <c r="X77" s="310"/>
      <c r="Y77" s="310"/>
      <c r="Z77" s="310"/>
      <c r="AA77" s="310"/>
      <c r="AB77" s="310"/>
      <c r="AC77" s="13"/>
    </row>
    <row r="78" spans="1:29" s="2" customFormat="1">
      <c r="A78" s="14">
        <f t="shared" si="7"/>
        <v>74</v>
      </c>
      <c r="B78" s="359" t="s">
        <v>68</v>
      </c>
      <c r="C78" s="360"/>
      <c r="D78" s="360"/>
      <c r="E78" s="360"/>
      <c r="F78" s="361"/>
      <c r="G78" s="359" t="s">
        <v>50</v>
      </c>
      <c r="H78" s="360"/>
      <c r="I78" s="360"/>
      <c r="J78" s="361"/>
      <c r="K78" s="362" t="s">
        <v>47</v>
      </c>
      <c r="L78" s="363"/>
      <c r="M78" s="34">
        <v>70</v>
      </c>
      <c r="N78" s="35"/>
      <c r="O78" s="36"/>
      <c r="P78" s="36"/>
      <c r="Q78" s="285"/>
      <c r="R78" s="286"/>
      <c r="S78" s="286"/>
      <c r="T78" s="286"/>
      <c r="U78" s="287"/>
      <c r="V78" s="37" t="s">
        <v>69</v>
      </c>
      <c r="W78" s="288"/>
      <c r="X78" s="288"/>
      <c r="Y78" s="288"/>
      <c r="Z78" s="288"/>
      <c r="AA78" s="288"/>
      <c r="AB78" s="288"/>
      <c r="AC78" s="13"/>
    </row>
    <row r="79" spans="1:29">
      <c r="A79" s="4">
        <f t="shared" si="7"/>
        <v>75</v>
      </c>
      <c r="B79" s="340" t="s">
        <v>67</v>
      </c>
      <c r="C79" s="341"/>
      <c r="D79" s="341"/>
      <c r="E79" s="341"/>
      <c r="F79" s="342"/>
      <c r="G79" s="340" t="s">
        <v>51</v>
      </c>
      <c r="H79" s="341"/>
      <c r="I79" s="341"/>
      <c r="J79" s="342"/>
      <c r="K79" s="364" t="s">
        <v>49</v>
      </c>
      <c r="L79" s="365"/>
      <c r="M79" s="38"/>
      <c r="N79" s="39"/>
      <c r="O79" s="40"/>
      <c r="P79" s="40"/>
      <c r="Q79" s="305"/>
      <c r="R79" s="306"/>
      <c r="S79" s="306"/>
      <c r="T79" s="306"/>
      <c r="U79" s="307"/>
      <c r="V79" s="41"/>
      <c r="W79" s="310"/>
      <c r="X79" s="310"/>
      <c r="Y79" s="310"/>
      <c r="Z79" s="310"/>
      <c r="AA79" s="310"/>
      <c r="AB79" s="310"/>
    </row>
    <row r="80" spans="1:29">
      <c r="A80" s="8">
        <f t="shared" si="7"/>
        <v>76</v>
      </c>
      <c r="B80" s="359" t="s">
        <v>70</v>
      </c>
      <c r="C80" s="360"/>
      <c r="D80" s="360"/>
      <c r="E80" s="360"/>
      <c r="F80" s="361"/>
      <c r="G80" s="359" t="s">
        <v>52</v>
      </c>
      <c r="H80" s="360"/>
      <c r="I80" s="360"/>
      <c r="J80" s="361"/>
      <c r="K80" s="362" t="s">
        <v>47</v>
      </c>
      <c r="L80" s="363"/>
      <c r="M80" s="34">
        <v>70</v>
      </c>
      <c r="N80" s="35"/>
      <c r="O80" s="36"/>
      <c r="P80" s="36"/>
      <c r="Q80" s="285"/>
      <c r="R80" s="286"/>
      <c r="S80" s="286"/>
      <c r="T80" s="286"/>
      <c r="U80" s="287"/>
      <c r="V80" s="37" t="s">
        <v>107</v>
      </c>
      <c r="W80" s="288"/>
      <c r="X80" s="288"/>
      <c r="Y80" s="288"/>
      <c r="Z80" s="288"/>
      <c r="AA80" s="288"/>
      <c r="AB80" s="288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24" t="s">
        <v>0</v>
      </c>
      <c r="B1" s="324"/>
      <c r="C1" s="324"/>
      <c r="D1" s="324"/>
      <c r="E1" s="324"/>
      <c r="F1" s="324"/>
      <c r="G1" s="324"/>
      <c r="H1" s="324"/>
      <c r="I1" s="324" t="s">
        <v>1</v>
      </c>
      <c r="J1" s="324"/>
      <c r="K1" s="324"/>
      <c r="L1" s="324"/>
      <c r="M1" s="324"/>
      <c r="N1" s="324"/>
      <c r="O1" s="324"/>
      <c r="P1" s="324" t="s">
        <v>2</v>
      </c>
      <c r="Q1" s="324"/>
      <c r="R1" s="324"/>
      <c r="S1" s="324"/>
      <c r="T1" s="324"/>
      <c r="U1" s="324"/>
      <c r="V1" s="5" t="s">
        <v>26</v>
      </c>
      <c r="W1" s="324" t="s">
        <v>3</v>
      </c>
      <c r="X1" s="324"/>
      <c r="Y1" s="324" t="s">
        <v>4</v>
      </c>
      <c r="Z1" s="324"/>
      <c r="AA1" s="324" t="s">
        <v>5</v>
      </c>
      <c r="AB1" s="324"/>
    </row>
    <row r="2" spans="1:38" ht="18" customHeight="1">
      <c r="A2" s="29"/>
      <c r="B2" s="331" t="s">
        <v>24</v>
      </c>
      <c r="C2" s="331"/>
      <c r="D2" s="331"/>
      <c r="E2" s="331"/>
      <c r="F2" s="331"/>
      <c r="G2" s="331"/>
      <c r="H2" s="332"/>
      <c r="I2" s="325" t="s">
        <v>83</v>
      </c>
      <c r="J2" s="325"/>
      <c r="K2" s="325"/>
      <c r="L2" s="325"/>
      <c r="M2" s="325"/>
      <c r="N2" s="325"/>
      <c r="O2" s="325"/>
      <c r="P2" s="325" t="s">
        <v>81</v>
      </c>
      <c r="Q2" s="325"/>
      <c r="R2" s="325"/>
      <c r="S2" s="325"/>
      <c r="T2" s="325"/>
      <c r="U2" s="325"/>
      <c r="V2" s="3" t="s">
        <v>65</v>
      </c>
      <c r="W2" s="327" t="s">
        <v>25</v>
      </c>
      <c r="X2" s="325"/>
      <c r="Y2" s="325"/>
      <c r="Z2" s="325"/>
      <c r="AA2" s="329">
        <v>41579</v>
      </c>
      <c r="AB2" s="325"/>
    </row>
    <row r="3" spans="1:38" ht="30" customHeight="1">
      <c r="A3" s="6" t="s">
        <v>6</v>
      </c>
      <c r="B3" s="330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2"/>
      <c r="W3" s="328"/>
      <c r="X3" s="328"/>
      <c r="Y3" s="328"/>
      <c r="Z3" s="328"/>
      <c r="AA3" s="328"/>
      <c r="AB3" s="328"/>
    </row>
    <row r="4" spans="1:38" ht="14.25" thickBot="1">
      <c r="A4" s="7" t="s">
        <v>7</v>
      </c>
      <c r="B4" s="313" t="s">
        <v>8</v>
      </c>
      <c r="C4" s="313"/>
      <c r="D4" s="313"/>
      <c r="E4" s="313"/>
      <c r="F4" s="313"/>
      <c r="G4" s="313" t="s">
        <v>9</v>
      </c>
      <c r="H4" s="313"/>
      <c r="I4" s="313"/>
      <c r="J4" s="313"/>
      <c r="K4" s="313" t="s">
        <v>10</v>
      </c>
      <c r="L4" s="313"/>
      <c r="M4" s="7" t="s">
        <v>11</v>
      </c>
      <c r="N4" s="7" t="s">
        <v>12</v>
      </c>
      <c r="O4" s="7" t="s">
        <v>13</v>
      </c>
      <c r="P4" s="7" t="s">
        <v>14</v>
      </c>
      <c r="Q4" s="313" t="s">
        <v>15</v>
      </c>
      <c r="R4" s="313"/>
      <c r="S4" s="313"/>
      <c r="T4" s="313"/>
      <c r="U4" s="313"/>
      <c r="V4" s="7" t="s">
        <v>16</v>
      </c>
      <c r="W4" s="313" t="s">
        <v>17</v>
      </c>
      <c r="X4" s="313"/>
      <c r="Y4" s="313"/>
      <c r="Z4" s="313"/>
      <c r="AA4" s="313"/>
      <c r="AB4" s="313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56" t="str">
        <f t="shared" ref="B5:B36" si="0">AC5</f>
        <v>プランＩＤ</v>
      </c>
      <c r="C5" s="357"/>
      <c r="D5" s="357"/>
      <c r="E5" s="357"/>
      <c r="F5" s="358"/>
      <c r="G5" s="340" t="str">
        <f t="shared" ref="G5:G17" si="1">AD5</f>
        <v>PLANID</v>
      </c>
      <c r="H5" s="341"/>
      <c r="I5" s="341"/>
      <c r="J5" s="342"/>
      <c r="K5" s="367" t="str">
        <f t="shared" ref="K5:K36" si="2">AE5</f>
        <v>CHAR</v>
      </c>
      <c r="L5" s="368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14">
        <f t="shared" ref="Q5:Q36" si="6">AJ5</f>
        <v>0</v>
      </c>
      <c r="R5" s="315"/>
      <c r="S5" s="315"/>
      <c r="T5" s="315"/>
      <c r="U5" s="316"/>
      <c r="V5" s="33">
        <f t="shared" ref="V5:V36" si="7">AL5</f>
        <v>0</v>
      </c>
      <c r="W5" s="322"/>
      <c r="X5" s="323"/>
      <c r="Y5" s="323"/>
      <c r="Z5" s="323"/>
      <c r="AA5" s="323"/>
      <c r="AB5" s="323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59" t="str">
        <f t="shared" si="0"/>
        <v>経営立直し資金</v>
      </c>
      <c r="C6" s="360"/>
      <c r="D6" s="360"/>
      <c r="E6" s="360"/>
      <c r="F6" s="361"/>
      <c r="G6" s="359" t="str">
        <f t="shared" si="1"/>
        <v>KEIEITATENAOSISIKIN</v>
      </c>
      <c r="H6" s="360"/>
      <c r="I6" s="360"/>
      <c r="J6" s="361"/>
      <c r="K6" s="362" t="str">
        <f t="shared" si="2"/>
        <v>NUMBER</v>
      </c>
      <c r="L6" s="363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85">
        <f t="shared" si="6"/>
        <v>0</v>
      </c>
      <c r="R6" s="286"/>
      <c r="S6" s="286"/>
      <c r="T6" s="286"/>
      <c r="U6" s="287"/>
      <c r="V6" s="37">
        <f t="shared" si="7"/>
        <v>0</v>
      </c>
      <c r="W6" s="288"/>
      <c r="X6" s="288"/>
      <c r="Y6" s="288"/>
      <c r="Z6" s="288"/>
      <c r="AA6" s="288"/>
      <c r="AB6" s="288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40" t="str">
        <f t="shared" si="0"/>
        <v>納税準備資金</v>
      </c>
      <c r="C7" s="341"/>
      <c r="D7" s="341"/>
      <c r="E7" s="341"/>
      <c r="F7" s="342"/>
      <c r="G7" s="340" t="str">
        <f t="shared" si="1"/>
        <v>NOZEIJUNBIKIN</v>
      </c>
      <c r="H7" s="341"/>
      <c r="I7" s="341"/>
      <c r="J7" s="342"/>
      <c r="K7" s="364" t="str">
        <f t="shared" si="2"/>
        <v>NUMBER</v>
      </c>
      <c r="L7" s="365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05">
        <f t="shared" si="6"/>
        <v>0</v>
      </c>
      <c r="R7" s="306"/>
      <c r="S7" s="306"/>
      <c r="T7" s="306"/>
      <c r="U7" s="307"/>
      <c r="V7" s="41">
        <f t="shared" si="7"/>
        <v>0</v>
      </c>
      <c r="W7" s="310"/>
      <c r="X7" s="310"/>
      <c r="Y7" s="310"/>
      <c r="Z7" s="310"/>
      <c r="AA7" s="310"/>
      <c r="AB7" s="310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59" t="str">
        <f t="shared" si="0"/>
        <v>事業保障資金</v>
      </c>
      <c r="C8" s="360"/>
      <c r="D8" s="360"/>
      <c r="E8" s="360"/>
      <c r="F8" s="361"/>
      <c r="G8" s="359" t="str">
        <f t="shared" si="1"/>
        <v>JIGYOHOSHOKIN</v>
      </c>
      <c r="H8" s="360"/>
      <c r="I8" s="360"/>
      <c r="J8" s="361"/>
      <c r="K8" s="362" t="str">
        <f t="shared" si="2"/>
        <v>NUMBER</v>
      </c>
      <c r="L8" s="363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85">
        <f t="shared" si="6"/>
        <v>0</v>
      </c>
      <c r="R8" s="286"/>
      <c r="S8" s="286"/>
      <c r="T8" s="286"/>
      <c r="U8" s="287"/>
      <c r="V8" s="37">
        <f t="shared" si="7"/>
        <v>0</v>
      </c>
      <c r="W8" s="288"/>
      <c r="X8" s="288"/>
      <c r="Y8" s="288"/>
      <c r="Z8" s="288"/>
      <c r="AA8" s="288"/>
      <c r="AB8" s="288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40" t="str">
        <f t="shared" si="0"/>
        <v>役員在任年数</v>
      </c>
      <c r="C9" s="341"/>
      <c r="D9" s="341"/>
      <c r="E9" s="341"/>
      <c r="F9" s="342"/>
      <c r="G9" s="340" t="str">
        <f t="shared" si="1"/>
        <v>ZAININYEAR</v>
      </c>
      <c r="H9" s="341"/>
      <c r="I9" s="341"/>
      <c r="J9" s="342"/>
      <c r="K9" s="364" t="str">
        <f t="shared" si="2"/>
        <v>NUMBER</v>
      </c>
      <c r="L9" s="365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05">
        <f t="shared" si="6"/>
        <v>0</v>
      </c>
      <c r="R9" s="306"/>
      <c r="S9" s="306"/>
      <c r="T9" s="306"/>
      <c r="U9" s="307"/>
      <c r="V9" s="41">
        <f t="shared" si="7"/>
        <v>0</v>
      </c>
      <c r="W9" s="310"/>
      <c r="X9" s="310"/>
      <c r="Y9" s="310"/>
      <c r="Z9" s="310"/>
      <c r="AA9" s="310"/>
      <c r="AB9" s="310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59" t="str">
        <f t="shared" si="0"/>
        <v>死亡退職金</v>
      </c>
      <c r="C10" s="360"/>
      <c r="D10" s="360"/>
      <c r="E10" s="360"/>
      <c r="F10" s="361"/>
      <c r="G10" s="359" t="str">
        <f t="shared" si="1"/>
        <v>SIBOTAISHOKUKIN</v>
      </c>
      <c r="H10" s="360"/>
      <c r="I10" s="360"/>
      <c r="J10" s="361"/>
      <c r="K10" s="362" t="str">
        <f t="shared" si="2"/>
        <v>NUMBER</v>
      </c>
      <c r="L10" s="363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85">
        <f t="shared" si="6"/>
        <v>0</v>
      </c>
      <c r="R10" s="286"/>
      <c r="S10" s="286"/>
      <c r="T10" s="286"/>
      <c r="U10" s="287"/>
      <c r="V10" s="37">
        <f t="shared" si="7"/>
        <v>0</v>
      </c>
      <c r="W10" s="288"/>
      <c r="X10" s="288"/>
      <c r="Y10" s="288"/>
      <c r="Z10" s="288"/>
      <c r="AA10" s="288"/>
      <c r="AB10" s="288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40" t="str">
        <f t="shared" si="0"/>
        <v>弔慰金</v>
      </c>
      <c r="C11" s="341"/>
      <c r="D11" s="341"/>
      <c r="E11" s="341"/>
      <c r="F11" s="342"/>
      <c r="G11" s="340" t="str">
        <f t="shared" si="1"/>
        <v>TYOIKIN</v>
      </c>
      <c r="H11" s="341"/>
      <c r="I11" s="341"/>
      <c r="J11" s="342"/>
      <c r="K11" s="364" t="str">
        <f t="shared" si="2"/>
        <v>NUMBER</v>
      </c>
      <c r="L11" s="365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05">
        <f t="shared" si="6"/>
        <v>0</v>
      </c>
      <c r="R11" s="306"/>
      <c r="S11" s="306"/>
      <c r="T11" s="306"/>
      <c r="U11" s="307"/>
      <c r="V11" s="41">
        <f t="shared" si="7"/>
        <v>0</v>
      </c>
      <c r="W11" s="310"/>
      <c r="X11" s="310"/>
      <c r="Y11" s="310"/>
      <c r="Z11" s="310"/>
      <c r="AA11" s="310"/>
      <c r="AB11" s="310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59" t="str">
        <f t="shared" si="0"/>
        <v>経営者の必要保障額合計</v>
      </c>
      <c r="C12" s="360"/>
      <c r="D12" s="360"/>
      <c r="E12" s="360"/>
      <c r="F12" s="361"/>
      <c r="G12" s="359" t="str">
        <f t="shared" si="1"/>
        <v>HITUYOHOSHOGAKU</v>
      </c>
      <c r="H12" s="360"/>
      <c r="I12" s="360"/>
      <c r="J12" s="361"/>
      <c r="K12" s="362" t="str">
        <f t="shared" si="2"/>
        <v>NUMBER</v>
      </c>
      <c r="L12" s="363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85">
        <f t="shared" si="6"/>
        <v>0</v>
      </c>
      <c r="R12" s="286"/>
      <c r="S12" s="286"/>
      <c r="T12" s="286"/>
      <c r="U12" s="287"/>
      <c r="V12" s="37">
        <f t="shared" si="7"/>
        <v>0</v>
      </c>
      <c r="W12" s="288"/>
      <c r="X12" s="288"/>
      <c r="Y12" s="288"/>
      <c r="Z12" s="288"/>
      <c r="AA12" s="288"/>
      <c r="AB12" s="288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40" t="str">
        <f t="shared" si="0"/>
        <v>作成日時</v>
      </c>
      <c r="C13" s="341"/>
      <c r="D13" s="341"/>
      <c r="E13" s="341"/>
      <c r="F13" s="342"/>
      <c r="G13" s="340" t="str">
        <f t="shared" si="1"/>
        <v>INSERTDATE</v>
      </c>
      <c r="H13" s="341"/>
      <c r="I13" s="341"/>
      <c r="J13" s="342"/>
      <c r="K13" s="364" t="str">
        <f t="shared" si="2"/>
        <v>DATE</v>
      </c>
      <c r="L13" s="365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05">
        <f t="shared" si="6"/>
        <v>0</v>
      </c>
      <c r="R13" s="306"/>
      <c r="S13" s="306"/>
      <c r="T13" s="306"/>
      <c r="U13" s="307"/>
      <c r="V13" s="41">
        <f t="shared" si="7"/>
        <v>0</v>
      </c>
      <c r="W13" s="310"/>
      <c r="X13" s="310"/>
      <c r="Y13" s="310"/>
      <c r="Z13" s="310"/>
      <c r="AA13" s="310"/>
      <c r="AB13" s="310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59" t="str">
        <f t="shared" si="0"/>
        <v>作成者ＩＤ</v>
      </c>
      <c r="C14" s="360"/>
      <c r="D14" s="360"/>
      <c r="E14" s="360"/>
      <c r="F14" s="361"/>
      <c r="G14" s="359" t="str">
        <f t="shared" si="1"/>
        <v>INSERTTORIATSUKAISHAID</v>
      </c>
      <c r="H14" s="360"/>
      <c r="I14" s="360"/>
      <c r="J14" s="361"/>
      <c r="K14" s="362" t="str">
        <f t="shared" si="2"/>
        <v>CHAR</v>
      </c>
      <c r="L14" s="363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85">
        <f t="shared" si="6"/>
        <v>0</v>
      </c>
      <c r="R14" s="286"/>
      <c r="S14" s="286"/>
      <c r="T14" s="286"/>
      <c r="U14" s="287"/>
      <c r="V14" s="37" t="str">
        <f t="shared" si="7"/>
        <v>新規登録時の担当者ＩＤ</v>
      </c>
      <c r="W14" s="288"/>
      <c r="X14" s="288"/>
      <c r="Y14" s="288"/>
      <c r="Z14" s="288"/>
      <c r="AA14" s="288"/>
      <c r="AB14" s="288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40" t="str">
        <f t="shared" si="0"/>
        <v>作成日時</v>
      </c>
      <c r="C15" s="341"/>
      <c r="D15" s="341"/>
      <c r="E15" s="341"/>
      <c r="F15" s="342"/>
      <c r="G15" s="340" t="str">
        <f t="shared" si="1"/>
        <v>UPDATEDATE</v>
      </c>
      <c r="H15" s="341"/>
      <c r="I15" s="341"/>
      <c r="J15" s="342"/>
      <c r="K15" s="364" t="str">
        <f t="shared" si="2"/>
        <v>DATE</v>
      </c>
      <c r="L15" s="365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05">
        <f t="shared" si="6"/>
        <v>0</v>
      </c>
      <c r="R15" s="306"/>
      <c r="S15" s="306"/>
      <c r="T15" s="306"/>
      <c r="U15" s="307"/>
      <c r="V15" s="41">
        <f t="shared" si="7"/>
        <v>0</v>
      </c>
      <c r="W15" s="310"/>
      <c r="X15" s="310"/>
      <c r="Y15" s="310"/>
      <c r="Z15" s="310"/>
      <c r="AA15" s="310"/>
      <c r="AB15" s="310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59" t="str">
        <f t="shared" si="0"/>
        <v>更新者ＩＤ</v>
      </c>
      <c r="C16" s="360"/>
      <c r="D16" s="360"/>
      <c r="E16" s="360"/>
      <c r="F16" s="361"/>
      <c r="G16" s="359" t="str">
        <f t="shared" si="1"/>
        <v>UPDATETORIATSUKAISHAID</v>
      </c>
      <c r="H16" s="360"/>
      <c r="I16" s="360"/>
      <c r="J16" s="361"/>
      <c r="K16" s="362" t="str">
        <f t="shared" si="2"/>
        <v>CHAR</v>
      </c>
      <c r="L16" s="363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85">
        <f t="shared" si="6"/>
        <v>0</v>
      </c>
      <c r="R16" s="286"/>
      <c r="S16" s="286"/>
      <c r="T16" s="286"/>
      <c r="U16" s="287"/>
      <c r="V16" s="37" t="str">
        <f t="shared" si="7"/>
        <v>新規登録時の担当者ＩＤ</v>
      </c>
      <c r="W16" s="288"/>
      <c r="X16" s="288"/>
      <c r="Y16" s="288"/>
      <c r="Z16" s="288"/>
      <c r="AA16" s="288"/>
      <c r="AB16" s="288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40">
        <f t="shared" si="0"/>
        <v>0</v>
      </c>
      <c r="C17" s="341"/>
      <c r="D17" s="341"/>
      <c r="E17" s="341"/>
      <c r="F17" s="342"/>
      <c r="G17" s="340">
        <f t="shared" si="1"/>
        <v>0</v>
      </c>
      <c r="H17" s="341"/>
      <c r="I17" s="341"/>
      <c r="J17" s="342"/>
      <c r="K17" s="364">
        <f t="shared" si="2"/>
        <v>0</v>
      </c>
      <c r="L17" s="365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05">
        <f t="shared" si="6"/>
        <v>0</v>
      </c>
      <c r="R17" s="306"/>
      <c r="S17" s="306"/>
      <c r="T17" s="306"/>
      <c r="U17" s="307"/>
      <c r="V17" s="41">
        <f t="shared" si="7"/>
        <v>0</v>
      </c>
      <c r="W17" s="310"/>
      <c r="X17" s="310"/>
      <c r="Y17" s="310"/>
      <c r="Z17" s="310"/>
      <c r="AA17" s="310"/>
      <c r="AB17" s="310"/>
      <c r="AC17" s="13"/>
    </row>
    <row r="18" spans="1:29" s="2" customFormat="1">
      <c r="A18" s="14">
        <f t="shared" si="8"/>
        <v>14</v>
      </c>
      <c r="B18" s="359">
        <f t="shared" si="0"/>
        <v>0</v>
      </c>
      <c r="C18" s="360"/>
      <c r="D18" s="360"/>
      <c r="E18" s="360"/>
      <c r="F18" s="361"/>
      <c r="G18" s="359">
        <f t="shared" ref="G18:G81" si="9">AD18</f>
        <v>0</v>
      </c>
      <c r="H18" s="360"/>
      <c r="I18" s="360"/>
      <c r="J18" s="361"/>
      <c r="K18" s="362">
        <f t="shared" si="2"/>
        <v>0</v>
      </c>
      <c r="L18" s="363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85">
        <f t="shared" si="6"/>
        <v>0</v>
      </c>
      <c r="R18" s="286"/>
      <c r="S18" s="286"/>
      <c r="T18" s="286"/>
      <c r="U18" s="287"/>
      <c r="V18" s="37">
        <f t="shared" si="7"/>
        <v>0</v>
      </c>
      <c r="W18" s="288"/>
      <c r="X18" s="288"/>
      <c r="Y18" s="288"/>
      <c r="Z18" s="288"/>
      <c r="AA18" s="288"/>
      <c r="AB18" s="288"/>
      <c r="AC18" s="13"/>
    </row>
    <row r="19" spans="1:29" s="2" customFormat="1">
      <c r="A19" s="15">
        <f t="shared" si="8"/>
        <v>15</v>
      </c>
      <c r="B19" s="340">
        <f t="shared" si="0"/>
        <v>0</v>
      </c>
      <c r="C19" s="341"/>
      <c r="D19" s="341"/>
      <c r="E19" s="341"/>
      <c r="F19" s="342"/>
      <c r="G19" s="340">
        <f t="shared" si="9"/>
        <v>0</v>
      </c>
      <c r="H19" s="341"/>
      <c r="I19" s="341"/>
      <c r="J19" s="342"/>
      <c r="K19" s="364">
        <f t="shared" si="2"/>
        <v>0</v>
      </c>
      <c r="L19" s="365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05">
        <f t="shared" si="6"/>
        <v>0</v>
      </c>
      <c r="R19" s="306"/>
      <c r="S19" s="306"/>
      <c r="T19" s="306"/>
      <c r="U19" s="307"/>
      <c r="V19" s="41">
        <f t="shared" si="7"/>
        <v>0</v>
      </c>
      <c r="W19" s="310"/>
      <c r="X19" s="310"/>
      <c r="Y19" s="310"/>
      <c r="Z19" s="310"/>
      <c r="AA19" s="310"/>
      <c r="AB19" s="310"/>
      <c r="AC19" s="13"/>
    </row>
    <row r="20" spans="1:29" s="2" customFormat="1">
      <c r="A20" s="14">
        <f t="shared" si="8"/>
        <v>16</v>
      </c>
      <c r="B20" s="359">
        <f t="shared" si="0"/>
        <v>0</v>
      </c>
      <c r="C20" s="360"/>
      <c r="D20" s="360"/>
      <c r="E20" s="360"/>
      <c r="F20" s="361"/>
      <c r="G20" s="359">
        <f t="shared" si="9"/>
        <v>0</v>
      </c>
      <c r="H20" s="360"/>
      <c r="I20" s="360"/>
      <c r="J20" s="361"/>
      <c r="K20" s="362">
        <f t="shared" si="2"/>
        <v>0</v>
      </c>
      <c r="L20" s="363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85">
        <f t="shared" si="6"/>
        <v>0</v>
      </c>
      <c r="R20" s="286"/>
      <c r="S20" s="286"/>
      <c r="T20" s="286"/>
      <c r="U20" s="287"/>
      <c r="V20" s="37">
        <f t="shared" si="7"/>
        <v>0</v>
      </c>
      <c r="W20" s="288"/>
      <c r="X20" s="288"/>
      <c r="Y20" s="288"/>
      <c r="Z20" s="288"/>
      <c r="AA20" s="288"/>
      <c r="AB20" s="288"/>
      <c r="AC20" s="13"/>
    </row>
    <row r="21" spans="1:29" s="2" customFormat="1">
      <c r="A21" s="15">
        <f t="shared" si="8"/>
        <v>17</v>
      </c>
      <c r="B21" s="340">
        <f t="shared" si="0"/>
        <v>0</v>
      </c>
      <c r="C21" s="341"/>
      <c r="D21" s="341"/>
      <c r="E21" s="341"/>
      <c r="F21" s="342"/>
      <c r="G21" s="340">
        <f t="shared" si="9"/>
        <v>0</v>
      </c>
      <c r="H21" s="341"/>
      <c r="I21" s="341"/>
      <c r="J21" s="342"/>
      <c r="K21" s="364">
        <f t="shared" si="2"/>
        <v>0</v>
      </c>
      <c r="L21" s="365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05">
        <f t="shared" si="6"/>
        <v>0</v>
      </c>
      <c r="R21" s="306"/>
      <c r="S21" s="306"/>
      <c r="T21" s="306"/>
      <c r="U21" s="307"/>
      <c r="V21" s="41">
        <f t="shared" si="7"/>
        <v>0</v>
      </c>
      <c r="W21" s="310"/>
      <c r="X21" s="310"/>
      <c r="Y21" s="310"/>
      <c r="Z21" s="310"/>
      <c r="AA21" s="310"/>
      <c r="AB21" s="310"/>
      <c r="AC21" s="13"/>
    </row>
    <row r="22" spans="1:29" s="2" customFormat="1">
      <c r="A22" s="14">
        <f t="shared" si="8"/>
        <v>18</v>
      </c>
      <c r="B22" s="359">
        <f t="shared" si="0"/>
        <v>0</v>
      </c>
      <c r="C22" s="360"/>
      <c r="D22" s="360"/>
      <c r="E22" s="360"/>
      <c r="F22" s="361"/>
      <c r="G22" s="359">
        <f t="shared" si="9"/>
        <v>0</v>
      </c>
      <c r="H22" s="360"/>
      <c r="I22" s="360"/>
      <c r="J22" s="361"/>
      <c r="K22" s="362">
        <f t="shared" si="2"/>
        <v>0</v>
      </c>
      <c r="L22" s="363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85">
        <f t="shared" si="6"/>
        <v>0</v>
      </c>
      <c r="R22" s="286"/>
      <c r="S22" s="286"/>
      <c r="T22" s="286"/>
      <c r="U22" s="287"/>
      <c r="V22" s="37">
        <f t="shared" si="7"/>
        <v>0</v>
      </c>
      <c r="W22" s="288"/>
      <c r="X22" s="288"/>
      <c r="Y22" s="288"/>
      <c r="Z22" s="288"/>
      <c r="AA22" s="288"/>
      <c r="AB22" s="288"/>
      <c r="AC22" s="13"/>
    </row>
    <row r="23" spans="1:29">
      <c r="A23" s="4">
        <f t="shared" si="8"/>
        <v>19</v>
      </c>
      <c r="B23" s="340">
        <f t="shared" si="0"/>
        <v>0</v>
      </c>
      <c r="C23" s="341"/>
      <c r="D23" s="341"/>
      <c r="E23" s="341"/>
      <c r="F23" s="342"/>
      <c r="G23" s="340">
        <f t="shared" si="9"/>
        <v>0</v>
      </c>
      <c r="H23" s="341"/>
      <c r="I23" s="341"/>
      <c r="J23" s="342"/>
      <c r="K23" s="364">
        <f t="shared" si="2"/>
        <v>0</v>
      </c>
      <c r="L23" s="365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05">
        <f t="shared" si="6"/>
        <v>0</v>
      </c>
      <c r="R23" s="306"/>
      <c r="S23" s="306"/>
      <c r="T23" s="306"/>
      <c r="U23" s="307"/>
      <c r="V23" s="41">
        <f t="shared" si="7"/>
        <v>0</v>
      </c>
      <c r="W23" s="310"/>
      <c r="X23" s="310"/>
      <c r="Y23" s="310"/>
      <c r="Z23" s="310"/>
      <c r="AA23" s="310"/>
      <c r="AB23" s="310"/>
    </row>
    <row r="24" spans="1:29">
      <c r="A24" s="8">
        <f t="shared" si="8"/>
        <v>20</v>
      </c>
      <c r="B24" s="359">
        <f t="shared" si="0"/>
        <v>0</v>
      </c>
      <c r="C24" s="360"/>
      <c r="D24" s="360"/>
      <c r="E24" s="360"/>
      <c r="F24" s="361"/>
      <c r="G24" s="359">
        <f t="shared" si="9"/>
        <v>0</v>
      </c>
      <c r="H24" s="360"/>
      <c r="I24" s="360"/>
      <c r="J24" s="361"/>
      <c r="K24" s="362">
        <f t="shared" si="2"/>
        <v>0</v>
      </c>
      <c r="L24" s="363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85">
        <f t="shared" si="6"/>
        <v>0</v>
      </c>
      <c r="R24" s="286"/>
      <c r="S24" s="286"/>
      <c r="T24" s="286"/>
      <c r="U24" s="287"/>
      <c r="V24" s="37">
        <f t="shared" si="7"/>
        <v>0</v>
      </c>
      <c r="W24" s="288"/>
      <c r="X24" s="288"/>
      <c r="Y24" s="288"/>
      <c r="Z24" s="288"/>
      <c r="AA24" s="288"/>
      <c r="AB24" s="288"/>
    </row>
    <row r="25" spans="1:29" s="2" customFormat="1">
      <c r="A25" s="15">
        <f t="shared" si="8"/>
        <v>21</v>
      </c>
      <c r="B25" s="340">
        <f t="shared" si="0"/>
        <v>0</v>
      </c>
      <c r="C25" s="341"/>
      <c r="D25" s="341"/>
      <c r="E25" s="341"/>
      <c r="F25" s="342"/>
      <c r="G25" s="340">
        <f t="shared" si="9"/>
        <v>0</v>
      </c>
      <c r="H25" s="341"/>
      <c r="I25" s="341"/>
      <c r="J25" s="342"/>
      <c r="K25" s="364">
        <f t="shared" si="2"/>
        <v>0</v>
      </c>
      <c r="L25" s="365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05">
        <f t="shared" si="6"/>
        <v>0</v>
      </c>
      <c r="R25" s="306"/>
      <c r="S25" s="306"/>
      <c r="T25" s="306"/>
      <c r="U25" s="307"/>
      <c r="V25" s="41">
        <f t="shared" si="7"/>
        <v>0</v>
      </c>
      <c r="W25" s="310"/>
      <c r="X25" s="310"/>
      <c r="Y25" s="310"/>
      <c r="Z25" s="310"/>
      <c r="AA25" s="310"/>
      <c r="AB25" s="310"/>
      <c r="AC25" s="13"/>
    </row>
    <row r="26" spans="1:29" s="2" customFormat="1">
      <c r="A26" s="14">
        <f t="shared" si="8"/>
        <v>22</v>
      </c>
      <c r="B26" s="359">
        <f t="shared" si="0"/>
        <v>0</v>
      </c>
      <c r="C26" s="360"/>
      <c r="D26" s="360"/>
      <c r="E26" s="360"/>
      <c r="F26" s="361"/>
      <c r="G26" s="359">
        <f t="shared" si="9"/>
        <v>0</v>
      </c>
      <c r="H26" s="360"/>
      <c r="I26" s="360"/>
      <c r="J26" s="361"/>
      <c r="K26" s="362">
        <f t="shared" si="2"/>
        <v>0</v>
      </c>
      <c r="L26" s="363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85">
        <f t="shared" si="6"/>
        <v>0</v>
      </c>
      <c r="R26" s="286"/>
      <c r="S26" s="286"/>
      <c r="T26" s="286"/>
      <c r="U26" s="287"/>
      <c r="V26" s="37">
        <f t="shared" si="7"/>
        <v>0</v>
      </c>
      <c r="W26" s="288"/>
      <c r="X26" s="288"/>
      <c r="Y26" s="288"/>
      <c r="Z26" s="288"/>
      <c r="AA26" s="288"/>
      <c r="AB26" s="288"/>
      <c r="AC26" s="13"/>
    </row>
    <row r="27" spans="1:29" s="2" customFormat="1">
      <c r="A27" s="15">
        <f t="shared" si="8"/>
        <v>23</v>
      </c>
      <c r="B27" s="340">
        <f t="shared" si="0"/>
        <v>0</v>
      </c>
      <c r="C27" s="341"/>
      <c r="D27" s="341"/>
      <c r="E27" s="341"/>
      <c r="F27" s="342"/>
      <c r="G27" s="340">
        <f t="shared" si="9"/>
        <v>0</v>
      </c>
      <c r="H27" s="341"/>
      <c r="I27" s="341"/>
      <c r="J27" s="342"/>
      <c r="K27" s="364">
        <f t="shared" si="2"/>
        <v>0</v>
      </c>
      <c r="L27" s="365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05">
        <f t="shared" si="6"/>
        <v>0</v>
      </c>
      <c r="R27" s="306"/>
      <c r="S27" s="306"/>
      <c r="T27" s="306"/>
      <c r="U27" s="307"/>
      <c r="V27" s="41">
        <f t="shared" si="7"/>
        <v>0</v>
      </c>
      <c r="W27" s="310"/>
      <c r="X27" s="310"/>
      <c r="Y27" s="310"/>
      <c r="Z27" s="310"/>
      <c r="AA27" s="310"/>
      <c r="AB27" s="310"/>
      <c r="AC27" s="13"/>
    </row>
    <row r="28" spans="1:29" s="2" customFormat="1">
      <c r="A28" s="14">
        <f t="shared" si="8"/>
        <v>24</v>
      </c>
      <c r="B28" s="359">
        <f t="shared" si="0"/>
        <v>0</v>
      </c>
      <c r="C28" s="360"/>
      <c r="D28" s="360"/>
      <c r="E28" s="360"/>
      <c r="F28" s="361"/>
      <c r="G28" s="359">
        <f t="shared" si="9"/>
        <v>0</v>
      </c>
      <c r="H28" s="360"/>
      <c r="I28" s="360"/>
      <c r="J28" s="361"/>
      <c r="K28" s="362">
        <f t="shared" si="2"/>
        <v>0</v>
      </c>
      <c r="L28" s="363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85">
        <f t="shared" si="6"/>
        <v>0</v>
      </c>
      <c r="R28" s="286"/>
      <c r="S28" s="286"/>
      <c r="T28" s="286"/>
      <c r="U28" s="287"/>
      <c r="V28" s="37">
        <f t="shared" si="7"/>
        <v>0</v>
      </c>
      <c r="W28" s="288"/>
      <c r="X28" s="288"/>
      <c r="Y28" s="288"/>
      <c r="Z28" s="288"/>
      <c r="AA28" s="288"/>
      <c r="AB28" s="288"/>
      <c r="AC28" s="13"/>
    </row>
    <row r="29" spans="1:29" s="2" customFormat="1">
      <c r="A29" s="15">
        <f t="shared" si="8"/>
        <v>25</v>
      </c>
      <c r="B29" s="340">
        <f t="shared" si="0"/>
        <v>0</v>
      </c>
      <c r="C29" s="341"/>
      <c r="D29" s="341"/>
      <c r="E29" s="341"/>
      <c r="F29" s="342"/>
      <c r="G29" s="340">
        <f t="shared" si="9"/>
        <v>0</v>
      </c>
      <c r="H29" s="341"/>
      <c r="I29" s="341"/>
      <c r="J29" s="342"/>
      <c r="K29" s="364">
        <f t="shared" si="2"/>
        <v>0</v>
      </c>
      <c r="L29" s="365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05">
        <f t="shared" si="6"/>
        <v>0</v>
      </c>
      <c r="R29" s="306"/>
      <c r="S29" s="306"/>
      <c r="T29" s="306"/>
      <c r="U29" s="307"/>
      <c r="V29" s="41">
        <f t="shared" si="7"/>
        <v>0</v>
      </c>
      <c r="W29" s="310"/>
      <c r="X29" s="310"/>
      <c r="Y29" s="310"/>
      <c r="Z29" s="310"/>
      <c r="AA29" s="310"/>
      <c r="AB29" s="310"/>
      <c r="AC29" s="13"/>
    </row>
    <row r="30" spans="1:29" s="2" customFormat="1">
      <c r="A30" s="14">
        <f t="shared" si="8"/>
        <v>26</v>
      </c>
      <c r="B30" s="359">
        <f t="shared" si="0"/>
        <v>0</v>
      </c>
      <c r="C30" s="360"/>
      <c r="D30" s="360"/>
      <c r="E30" s="360"/>
      <c r="F30" s="361"/>
      <c r="G30" s="359">
        <f t="shared" si="9"/>
        <v>0</v>
      </c>
      <c r="H30" s="360"/>
      <c r="I30" s="360"/>
      <c r="J30" s="361"/>
      <c r="K30" s="362">
        <f t="shared" si="2"/>
        <v>0</v>
      </c>
      <c r="L30" s="363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85">
        <f t="shared" si="6"/>
        <v>0</v>
      </c>
      <c r="R30" s="286"/>
      <c r="S30" s="286"/>
      <c r="T30" s="286"/>
      <c r="U30" s="287"/>
      <c r="V30" s="37">
        <f t="shared" si="7"/>
        <v>0</v>
      </c>
      <c r="W30" s="288"/>
      <c r="X30" s="288"/>
      <c r="Y30" s="288"/>
      <c r="Z30" s="288"/>
      <c r="AA30" s="288"/>
      <c r="AB30" s="288"/>
      <c r="AC30" s="13"/>
    </row>
    <row r="31" spans="1:29">
      <c r="A31" s="4">
        <f t="shared" si="8"/>
        <v>27</v>
      </c>
      <c r="B31" s="340">
        <f t="shared" si="0"/>
        <v>0</v>
      </c>
      <c r="C31" s="341"/>
      <c r="D31" s="341"/>
      <c r="E31" s="341"/>
      <c r="F31" s="342"/>
      <c r="G31" s="340">
        <f t="shared" si="9"/>
        <v>0</v>
      </c>
      <c r="H31" s="341"/>
      <c r="I31" s="341"/>
      <c r="J31" s="342"/>
      <c r="K31" s="364">
        <f t="shared" si="2"/>
        <v>0</v>
      </c>
      <c r="L31" s="365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05">
        <f t="shared" si="6"/>
        <v>0</v>
      </c>
      <c r="R31" s="306"/>
      <c r="S31" s="306"/>
      <c r="T31" s="306"/>
      <c r="U31" s="307"/>
      <c r="V31" s="41">
        <f t="shared" si="7"/>
        <v>0</v>
      </c>
      <c r="W31" s="310"/>
      <c r="X31" s="310"/>
      <c r="Y31" s="310"/>
      <c r="Z31" s="310"/>
      <c r="AA31" s="310"/>
      <c r="AB31" s="310"/>
    </row>
    <row r="32" spans="1:29">
      <c r="A32" s="8">
        <f t="shared" si="8"/>
        <v>28</v>
      </c>
      <c r="B32" s="359">
        <f t="shared" si="0"/>
        <v>0</v>
      </c>
      <c r="C32" s="360"/>
      <c r="D32" s="360"/>
      <c r="E32" s="360"/>
      <c r="F32" s="361"/>
      <c r="G32" s="359">
        <f t="shared" si="9"/>
        <v>0</v>
      </c>
      <c r="H32" s="360"/>
      <c r="I32" s="360"/>
      <c r="J32" s="361"/>
      <c r="K32" s="362">
        <f t="shared" si="2"/>
        <v>0</v>
      </c>
      <c r="L32" s="363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85">
        <f t="shared" si="6"/>
        <v>0</v>
      </c>
      <c r="R32" s="286"/>
      <c r="S32" s="286"/>
      <c r="T32" s="286"/>
      <c r="U32" s="287"/>
      <c r="V32" s="37">
        <f t="shared" si="7"/>
        <v>0</v>
      </c>
      <c r="W32" s="288"/>
      <c r="X32" s="288"/>
      <c r="Y32" s="288"/>
      <c r="Z32" s="288"/>
      <c r="AA32" s="288"/>
      <c r="AB32" s="288"/>
    </row>
    <row r="33" spans="1:29">
      <c r="A33" s="15">
        <f t="shared" si="8"/>
        <v>29</v>
      </c>
      <c r="B33" s="340">
        <f t="shared" si="0"/>
        <v>0</v>
      </c>
      <c r="C33" s="341"/>
      <c r="D33" s="341"/>
      <c r="E33" s="341"/>
      <c r="F33" s="342"/>
      <c r="G33" s="340">
        <f t="shared" si="9"/>
        <v>0</v>
      </c>
      <c r="H33" s="341"/>
      <c r="I33" s="341"/>
      <c r="J33" s="342"/>
      <c r="K33" s="364">
        <f t="shared" si="2"/>
        <v>0</v>
      </c>
      <c r="L33" s="365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05">
        <f t="shared" si="6"/>
        <v>0</v>
      </c>
      <c r="R33" s="306"/>
      <c r="S33" s="306"/>
      <c r="T33" s="306"/>
      <c r="U33" s="307"/>
      <c r="V33" s="41">
        <f t="shared" si="7"/>
        <v>0</v>
      </c>
      <c r="W33" s="310"/>
      <c r="X33" s="310"/>
      <c r="Y33" s="310"/>
      <c r="Z33" s="310"/>
      <c r="AA33" s="310"/>
      <c r="AB33" s="310"/>
    </row>
    <row r="34" spans="1:29" s="2" customFormat="1">
      <c r="A34" s="14">
        <f t="shared" si="8"/>
        <v>30</v>
      </c>
      <c r="B34" s="359">
        <f t="shared" si="0"/>
        <v>0</v>
      </c>
      <c r="C34" s="360"/>
      <c r="D34" s="360"/>
      <c r="E34" s="360"/>
      <c r="F34" s="361"/>
      <c r="G34" s="359">
        <f t="shared" si="9"/>
        <v>0</v>
      </c>
      <c r="H34" s="360"/>
      <c r="I34" s="360"/>
      <c r="J34" s="361"/>
      <c r="K34" s="362">
        <f t="shared" si="2"/>
        <v>0</v>
      </c>
      <c r="L34" s="363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85">
        <f t="shared" si="6"/>
        <v>0</v>
      </c>
      <c r="R34" s="286"/>
      <c r="S34" s="286"/>
      <c r="T34" s="286"/>
      <c r="U34" s="287"/>
      <c r="V34" s="37">
        <f t="shared" si="7"/>
        <v>0</v>
      </c>
      <c r="W34" s="288"/>
      <c r="X34" s="288"/>
      <c r="Y34" s="288"/>
      <c r="Z34" s="288"/>
      <c r="AA34" s="288"/>
      <c r="AB34" s="288"/>
      <c r="AC34" s="13"/>
    </row>
    <row r="35" spans="1:29" s="2" customFormat="1">
      <c r="A35" s="15">
        <f t="shared" si="8"/>
        <v>31</v>
      </c>
      <c r="B35" s="340">
        <f t="shared" si="0"/>
        <v>0</v>
      </c>
      <c r="C35" s="341"/>
      <c r="D35" s="341"/>
      <c r="E35" s="341"/>
      <c r="F35" s="342"/>
      <c r="G35" s="340">
        <f t="shared" si="9"/>
        <v>0</v>
      </c>
      <c r="H35" s="341"/>
      <c r="I35" s="341"/>
      <c r="J35" s="342"/>
      <c r="K35" s="364">
        <f t="shared" si="2"/>
        <v>0</v>
      </c>
      <c r="L35" s="365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05">
        <f t="shared" si="6"/>
        <v>0</v>
      </c>
      <c r="R35" s="306"/>
      <c r="S35" s="306"/>
      <c r="T35" s="306"/>
      <c r="U35" s="307"/>
      <c r="V35" s="41">
        <f t="shared" si="7"/>
        <v>0</v>
      </c>
      <c r="W35" s="310"/>
      <c r="X35" s="310"/>
      <c r="Y35" s="310"/>
      <c r="Z35" s="310"/>
      <c r="AA35" s="310"/>
      <c r="AB35" s="310"/>
      <c r="AC35" s="13"/>
    </row>
    <row r="36" spans="1:29" s="2" customFormat="1">
      <c r="A36" s="14">
        <f t="shared" si="8"/>
        <v>32</v>
      </c>
      <c r="B36" s="359">
        <f t="shared" si="0"/>
        <v>0</v>
      </c>
      <c r="C36" s="360"/>
      <c r="D36" s="360"/>
      <c r="E36" s="360"/>
      <c r="F36" s="361"/>
      <c r="G36" s="359">
        <f t="shared" si="9"/>
        <v>0</v>
      </c>
      <c r="H36" s="360"/>
      <c r="I36" s="360"/>
      <c r="J36" s="361"/>
      <c r="K36" s="362">
        <f t="shared" si="2"/>
        <v>0</v>
      </c>
      <c r="L36" s="363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85">
        <f t="shared" si="6"/>
        <v>0</v>
      </c>
      <c r="R36" s="286"/>
      <c r="S36" s="286"/>
      <c r="T36" s="286"/>
      <c r="U36" s="287"/>
      <c r="V36" s="37">
        <f t="shared" si="7"/>
        <v>0</v>
      </c>
      <c r="W36" s="288"/>
      <c r="X36" s="288"/>
      <c r="Y36" s="288"/>
      <c r="Z36" s="288"/>
      <c r="AA36" s="288"/>
      <c r="AB36" s="288"/>
      <c r="AC36" s="13"/>
    </row>
    <row r="37" spans="1:29" s="2" customFormat="1">
      <c r="A37" s="15">
        <f t="shared" si="8"/>
        <v>33</v>
      </c>
      <c r="B37" s="340">
        <f t="shared" ref="B37:B68" si="10">AC37</f>
        <v>0</v>
      </c>
      <c r="C37" s="341"/>
      <c r="D37" s="341"/>
      <c r="E37" s="341"/>
      <c r="F37" s="342"/>
      <c r="G37" s="340">
        <f t="shared" si="9"/>
        <v>0</v>
      </c>
      <c r="H37" s="341"/>
      <c r="I37" s="341"/>
      <c r="J37" s="342"/>
      <c r="K37" s="364">
        <f t="shared" ref="K37:K68" si="11">AE37</f>
        <v>0</v>
      </c>
      <c r="L37" s="365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05">
        <f t="shared" ref="Q37:Q68" si="15">AJ37</f>
        <v>0</v>
      </c>
      <c r="R37" s="306"/>
      <c r="S37" s="306"/>
      <c r="T37" s="306"/>
      <c r="U37" s="307"/>
      <c r="V37" s="41">
        <f t="shared" ref="V37:V68" si="16">AL37</f>
        <v>0</v>
      </c>
      <c r="W37" s="310"/>
      <c r="X37" s="310"/>
      <c r="Y37" s="310"/>
      <c r="Z37" s="310"/>
      <c r="AA37" s="310"/>
      <c r="AB37" s="310"/>
      <c r="AC37" s="13"/>
    </row>
    <row r="38" spans="1:29" s="2" customFormat="1">
      <c r="A38" s="14">
        <f t="shared" si="8"/>
        <v>34</v>
      </c>
      <c r="B38" s="359">
        <f t="shared" si="10"/>
        <v>0</v>
      </c>
      <c r="C38" s="360"/>
      <c r="D38" s="360"/>
      <c r="E38" s="360"/>
      <c r="F38" s="361"/>
      <c r="G38" s="359">
        <f t="shared" si="9"/>
        <v>0</v>
      </c>
      <c r="H38" s="360"/>
      <c r="I38" s="360"/>
      <c r="J38" s="361"/>
      <c r="K38" s="362">
        <f t="shared" si="11"/>
        <v>0</v>
      </c>
      <c r="L38" s="363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85">
        <f t="shared" si="15"/>
        <v>0</v>
      </c>
      <c r="R38" s="286"/>
      <c r="S38" s="286"/>
      <c r="T38" s="286"/>
      <c r="U38" s="287"/>
      <c r="V38" s="37">
        <f t="shared" si="16"/>
        <v>0</v>
      </c>
      <c r="W38" s="288"/>
      <c r="X38" s="288"/>
      <c r="Y38" s="288"/>
      <c r="Z38" s="288"/>
      <c r="AA38" s="288"/>
      <c r="AB38" s="288"/>
      <c r="AC38" s="13"/>
    </row>
    <row r="39" spans="1:29">
      <c r="A39" s="4">
        <f t="shared" si="8"/>
        <v>35</v>
      </c>
      <c r="B39" s="340">
        <f t="shared" si="10"/>
        <v>0</v>
      </c>
      <c r="C39" s="341"/>
      <c r="D39" s="341"/>
      <c r="E39" s="341"/>
      <c r="F39" s="342"/>
      <c r="G39" s="340">
        <f t="shared" si="9"/>
        <v>0</v>
      </c>
      <c r="H39" s="341"/>
      <c r="I39" s="341"/>
      <c r="J39" s="342"/>
      <c r="K39" s="364">
        <f t="shared" si="11"/>
        <v>0</v>
      </c>
      <c r="L39" s="365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05">
        <f t="shared" si="15"/>
        <v>0</v>
      </c>
      <c r="R39" s="306"/>
      <c r="S39" s="306"/>
      <c r="T39" s="306"/>
      <c r="U39" s="307"/>
      <c r="V39" s="41">
        <f t="shared" si="16"/>
        <v>0</v>
      </c>
      <c r="W39" s="310"/>
      <c r="X39" s="310"/>
      <c r="Y39" s="310"/>
      <c r="Z39" s="310"/>
      <c r="AA39" s="310"/>
      <c r="AB39" s="310"/>
    </row>
    <row r="40" spans="1:29">
      <c r="A40" s="8">
        <f t="shared" si="8"/>
        <v>36</v>
      </c>
      <c r="B40" s="359">
        <f t="shared" si="10"/>
        <v>0</v>
      </c>
      <c r="C40" s="360"/>
      <c r="D40" s="360"/>
      <c r="E40" s="360"/>
      <c r="F40" s="361"/>
      <c r="G40" s="359">
        <f t="shared" si="9"/>
        <v>0</v>
      </c>
      <c r="H40" s="360"/>
      <c r="I40" s="360"/>
      <c r="J40" s="361"/>
      <c r="K40" s="362">
        <f t="shared" si="11"/>
        <v>0</v>
      </c>
      <c r="L40" s="363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85">
        <f t="shared" si="15"/>
        <v>0</v>
      </c>
      <c r="R40" s="286"/>
      <c r="S40" s="286"/>
      <c r="T40" s="286"/>
      <c r="U40" s="287"/>
      <c r="V40" s="37">
        <f t="shared" si="16"/>
        <v>0</v>
      </c>
      <c r="W40" s="288"/>
      <c r="X40" s="288"/>
      <c r="Y40" s="288"/>
      <c r="Z40" s="288"/>
      <c r="AA40" s="288"/>
      <c r="AB40" s="288"/>
    </row>
    <row r="41" spans="1:29" s="2" customFormat="1">
      <c r="A41" s="15">
        <f t="shared" si="8"/>
        <v>37</v>
      </c>
      <c r="B41" s="340">
        <f t="shared" si="10"/>
        <v>0</v>
      </c>
      <c r="C41" s="341"/>
      <c r="D41" s="341"/>
      <c r="E41" s="341"/>
      <c r="F41" s="342"/>
      <c r="G41" s="340">
        <f t="shared" si="9"/>
        <v>0</v>
      </c>
      <c r="H41" s="341"/>
      <c r="I41" s="341"/>
      <c r="J41" s="342"/>
      <c r="K41" s="364">
        <f t="shared" si="11"/>
        <v>0</v>
      </c>
      <c r="L41" s="365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05">
        <f t="shared" si="15"/>
        <v>0</v>
      </c>
      <c r="R41" s="306"/>
      <c r="S41" s="306"/>
      <c r="T41" s="306"/>
      <c r="U41" s="307"/>
      <c r="V41" s="41">
        <f t="shared" si="16"/>
        <v>0</v>
      </c>
      <c r="W41" s="310"/>
      <c r="X41" s="310"/>
      <c r="Y41" s="310"/>
      <c r="Z41" s="310"/>
      <c r="AA41" s="310"/>
      <c r="AB41" s="310"/>
      <c r="AC41" s="13"/>
    </row>
    <row r="42" spans="1:29" s="2" customFormat="1">
      <c r="A42" s="14">
        <f t="shared" si="8"/>
        <v>38</v>
      </c>
      <c r="B42" s="359">
        <f t="shared" si="10"/>
        <v>0</v>
      </c>
      <c r="C42" s="360"/>
      <c r="D42" s="360"/>
      <c r="E42" s="360"/>
      <c r="F42" s="361"/>
      <c r="G42" s="359">
        <f t="shared" si="9"/>
        <v>0</v>
      </c>
      <c r="H42" s="360"/>
      <c r="I42" s="360"/>
      <c r="J42" s="361"/>
      <c r="K42" s="362">
        <f t="shared" si="11"/>
        <v>0</v>
      </c>
      <c r="L42" s="363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85">
        <f t="shared" si="15"/>
        <v>0</v>
      </c>
      <c r="R42" s="286"/>
      <c r="S42" s="286"/>
      <c r="T42" s="286"/>
      <c r="U42" s="287"/>
      <c r="V42" s="37">
        <f t="shared" si="16"/>
        <v>0</v>
      </c>
      <c r="W42" s="288"/>
      <c r="X42" s="288"/>
      <c r="Y42" s="288"/>
      <c r="Z42" s="288"/>
      <c r="AA42" s="288"/>
      <c r="AB42" s="288"/>
      <c r="AC42" s="13"/>
    </row>
    <row r="43" spans="1:29" s="2" customFormat="1">
      <c r="A43" s="15">
        <f t="shared" si="8"/>
        <v>39</v>
      </c>
      <c r="B43" s="340">
        <f t="shared" si="10"/>
        <v>0</v>
      </c>
      <c r="C43" s="341"/>
      <c r="D43" s="341"/>
      <c r="E43" s="341"/>
      <c r="F43" s="342"/>
      <c r="G43" s="340">
        <f t="shared" si="9"/>
        <v>0</v>
      </c>
      <c r="H43" s="341"/>
      <c r="I43" s="341"/>
      <c r="J43" s="342"/>
      <c r="K43" s="364">
        <f t="shared" si="11"/>
        <v>0</v>
      </c>
      <c r="L43" s="365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05">
        <f t="shared" si="15"/>
        <v>0</v>
      </c>
      <c r="R43" s="306"/>
      <c r="S43" s="306"/>
      <c r="T43" s="306"/>
      <c r="U43" s="307"/>
      <c r="V43" s="41">
        <f t="shared" si="16"/>
        <v>0</v>
      </c>
      <c r="W43" s="310"/>
      <c r="X43" s="310"/>
      <c r="Y43" s="310"/>
      <c r="Z43" s="310"/>
      <c r="AA43" s="310"/>
      <c r="AB43" s="310"/>
      <c r="AC43" s="13"/>
    </row>
    <row r="44" spans="1:29" s="2" customFormat="1">
      <c r="A44" s="14">
        <f t="shared" si="8"/>
        <v>40</v>
      </c>
      <c r="B44" s="359">
        <f t="shared" si="10"/>
        <v>0</v>
      </c>
      <c r="C44" s="360"/>
      <c r="D44" s="360"/>
      <c r="E44" s="360"/>
      <c r="F44" s="361"/>
      <c r="G44" s="359">
        <f t="shared" si="9"/>
        <v>0</v>
      </c>
      <c r="H44" s="360"/>
      <c r="I44" s="360"/>
      <c r="J44" s="361"/>
      <c r="K44" s="362">
        <f t="shared" si="11"/>
        <v>0</v>
      </c>
      <c r="L44" s="363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85">
        <f t="shared" si="15"/>
        <v>0</v>
      </c>
      <c r="R44" s="286"/>
      <c r="S44" s="286"/>
      <c r="T44" s="286"/>
      <c r="U44" s="287"/>
      <c r="V44" s="37">
        <f t="shared" si="16"/>
        <v>0</v>
      </c>
      <c r="W44" s="288"/>
      <c r="X44" s="288"/>
      <c r="Y44" s="288"/>
      <c r="Z44" s="288"/>
      <c r="AA44" s="288"/>
      <c r="AB44" s="288"/>
      <c r="AC44" s="13"/>
    </row>
    <row r="45" spans="1:29" s="2" customFormat="1">
      <c r="A45" s="15">
        <f t="shared" si="8"/>
        <v>41</v>
      </c>
      <c r="B45" s="340">
        <f t="shared" si="10"/>
        <v>0</v>
      </c>
      <c r="C45" s="341"/>
      <c r="D45" s="341"/>
      <c r="E45" s="341"/>
      <c r="F45" s="342"/>
      <c r="G45" s="340">
        <f t="shared" si="9"/>
        <v>0</v>
      </c>
      <c r="H45" s="341"/>
      <c r="I45" s="341"/>
      <c r="J45" s="342"/>
      <c r="K45" s="364">
        <f t="shared" si="11"/>
        <v>0</v>
      </c>
      <c r="L45" s="365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05">
        <f t="shared" si="15"/>
        <v>0</v>
      </c>
      <c r="R45" s="306"/>
      <c r="S45" s="306"/>
      <c r="T45" s="306"/>
      <c r="U45" s="307"/>
      <c r="V45" s="41">
        <f t="shared" si="16"/>
        <v>0</v>
      </c>
      <c r="W45" s="310"/>
      <c r="X45" s="310"/>
      <c r="Y45" s="310"/>
      <c r="Z45" s="310"/>
      <c r="AA45" s="310"/>
      <c r="AB45" s="310"/>
      <c r="AC45" s="13"/>
    </row>
    <row r="46" spans="1:29" s="2" customFormat="1">
      <c r="A46" s="14">
        <f t="shared" si="8"/>
        <v>42</v>
      </c>
      <c r="B46" s="359">
        <f t="shared" si="10"/>
        <v>0</v>
      </c>
      <c r="C46" s="360"/>
      <c r="D46" s="360"/>
      <c r="E46" s="360"/>
      <c r="F46" s="361"/>
      <c r="G46" s="359">
        <f t="shared" si="9"/>
        <v>0</v>
      </c>
      <c r="H46" s="360"/>
      <c r="I46" s="360"/>
      <c r="J46" s="361"/>
      <c r="K46" s="362">
        <f t="shared" si="11"/>
        <v>0</v>
      </c>
      <c r="L46" s="363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85">
        <f t="shared" si="15"/>
        <v>0</v>
      </c>
      <c r="R46" s="286"/>
      <c r="S46" s="286"/>
      <c r="T46" s="286"/>
      <c r="U46" s="287"/>
      <c r="V46" s="37">
        <f t="shared" si="16"/>
        <v>0</v>
      </c>
      <c r="W46" s="288"/>
      <c r="X46" s="288"/>
      <c r="Y46" s="288"/>
      <c r="Z46" s="288"/>
      <c r="AA46" s="288"/>
      <c r="AB46" s="288"/>
      <c r="AC46" s="13"/>
    </row>
    <row r="47" spans="1:29">
      <c r="A47" s="4">
        <f t="shared" si="8"/>
        <v>43</v>
      </c>
      <c r="B47" s="340">
        <f t="shared" si="10"/>
        <v>0</v>
      </c>
      <c r="C47" s="341"/>
      <c r="D47" s="341"/>
      <c r="E47" s="341"/>
      <c r="F47" s="342"/>
      <c r="G47" s="340">
        <f t="shared" si="9"/>
        <v>0</v>
      </c>
      <c r="H47" s="341"/>
      <c r="I47" s="341"/>
      <c r="J47" s="342"/>
      <c r="K47" s="364">
        <f t="shared" si="11"/>
        <v>0</v>
      </c>
      <c r="L47" s="365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05">
        <f t="shared" si="15"/>
        <v>0</v>
      </c>
      <c r="R47" s="306"/>
      <c r="S47" s="306"/>
      <c r="T47" s="306"/>
      <c r="U47" s="307"/>
      <c r="V47" s="41">
        <f t="shared" si="16"/>
        <v>0</v>
      </c>
      <c r="W47" s="310"/>
      <c r="X47" s="310"/>
      <c r="Y47" s="310"/>
      <c r="Z47" s="310"/>
      <c r="AA47" s="310"/>
      <c r="AB47" s="310"/>
    </row>
    <row r="48" spans="1:29">
      <c r="A48" s="8">
        <f t="shared" si="8"/>
        <v>44</v>
      </c>
      <c r="B48" s="359">
        <f t="shared" si="10"/>
        <v>0</v>
      </c>
      <c r="C48" s="360"/>
      <c r="D48" s="360"/>
      <c r="E48" s="360"/>
      <c r="F48" s="361"/>
      <c r="G48" s="359">
        <f t="shared" si="9"/>
        <v>0</v>
      </c>
      <c r="H48" s="360"/>
      <c r="I48" s="360"/>
      <c r="J48" s="361"/>
      <c r="K48" s="362">
        <f t="shared" si="11"/>
        <v>0</v>
      </c>
      <c r="L48" s="363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85">
        <f t="shared" si="15"/>
        <v>0</v>
      </c>
      <c r="R48" s="286"/>
      <c r="S48" s="286"/>
      <c r="T48" s="286"/>
      <c r="U48" s="287"/>
      <c r="V48" s="37">
        <f t="shared" si="16"/>
        <v>0</v>
      </c>
      <c r="W48" s="288"/>
      <c r="X48" s="288"/>
      <c r="Y48" s="288"/>
      <c r="Z48" s="288"/>
      <c r="AA48" s="288"/>
      <c r="AB48" s="288"/>
    </row>
    <row r="49" spans="1:29">
      <c r="A49" s="15">
        <f t="shared" si="8"/>
        <v>45</v>
      </c>
      <c r="B49" s="340">
        <f t="shared" si="10"/>
        <v>0</v>
      </c>
      <c r="C49" s="341"/>
      <c r="D49" s="341"/>
      <c r="E49" s="341"/>
      <c r="F49" s="342"/>
      <c r="G49" s="340">
        <f t="shared" si="9"/>
        <v>0</v>
      </c>
      <c r="H49" s="341"/>
      <c r="I49" s="341"/>
      <c r="J49" s="342"/>
      <c r="K49" s="364">
        <f t="shared" si="11"/>
        <v>0</v>
      </c>
      <c r="L49" s="365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05">
        <f t="shared" si="15"/>
        <v>0</v>
      </c>
      <c r="R49" s="306"/>
      <c r="S49" s="306"/>
      <c r="T49" s="306"/>
      <c r="U49" s="307"/>
      <c r="V49" s="41">
        <f t="shared" si="16"/>
        <v>0</v>
      </c>
      <c r="W49" s="310"/>
      <c r="X49" s="310"/>
      <c r="Y49" s="310"/>
      <c r="Z49" s="310"/>
      <c r="AA49" s="310"/>
      <c r="AB49" s="310"/>
    </row>
    <row r="50" spans="1:29" s="2" customFormat="1">
      <c r="A50" s="14">
        <f t="shared" si="8"/>
        <v>46</v>
      </c>
      <c r="B50" s="359">
        <f t="shared" si="10"/>
        <v>0</v>
      </c>
      <c r="C50" s="360"/>
      <c r="D50" s="360"/>
      <c r="E50" s="360"/>
      <c r="F50" s="361"/>
      <c r="G50" s="359">
        <f t="shared" si="9"/>
        <v>0</v>
      </c>
      <c r="H50" s="360"/>
      <c r="I50" s="360"/>
      <c r="J50" s="361"/>
      <c r="K50" s="362">
        <f t="shared" si="11"/>
        <v>0</v>
      </c>
      <c r="L50" s="363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85">
        <f t="shared" si="15"/>
        <v>0</v>
      </c>
      <c r="R50" s="286"/>
      <c r="S50" s="286"/>
      <c r="T50" s="286"/>
      <c r="U50" s="287"/>
      <c r="V50" s="37">
        <f t="shared" si="16"/>
        <v>0</v>
      </c>
      <c r="W50" s="288"/>
      <c r="X50" s="288"/>
      <c r="Y50" s="288"/>
      <c r="Z50" s="288"/>
      <c r="AA50" s="288"/>
      <c r="AB50" s="288"/>
      <c r="AC50" s="13"/>
    </row>
    <row r="51" spans="1:29" s="2" customFormat="1">
      <c r="A51" s="15">
        <f t="shared" si="8"/>
        <v>47</v>
      </c>
      <c r="B51" s="340">
        <f t="shared" si="10"/>
        <v>0</v>
      </c>
      <c r="C51" s="341"/>
      <c r="D51" s="341"/>
      <c r="E51" s="341"/>
      <c r="F51" s="342"/>
      <c r="G51" s="340">
        <f t="shared" si="9"/>
        <v>0</v>
      </c>
      <c r="H51" s="341"/>
      <c r="I51" s="341"/>
      <c r="J51" s="342"/>
      <c r="K51" s="364">
        <f t="shared" si="11"/>
        <v>0</v>
      </c>
      <c r="L51" s="365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05">
        <f t="shared" si="15"/>
        <v>0</v>
      </c>
      <c r="R51" s="306"/>
      <c r="S51" s="306"/>
      <c r="T51" s="306"/>
      <c r="U51" s="307"/>
      <c r="V51" s="41">
        <f t="shared" si="16"/>
        <v>0</v>
      </c>
      <c r="W51" s="310"/>
      <c r="X51" s="310"/>
      <c r="Y51" s="310"/>
      <c r="Z51" s="310"/>
      <c r="AA51" s="310"/>
      <c r="AB51" s="310"/>
      <c r="AC51" s="13"/>
    </row>
    <row r="52" spans="1:29" s="2" customFormat="1">
      <c r="A52" s="14">
        <f t="shared" si="8"/>
        <v>48</v>
      </c>
      <c r="B52" s="359">
        <f t="shared" si="10"/>
        <v>0</v>
      </c>
      <c r="C52" s="360"/>
      <c r="D52" s="360"/>
      <c r="E52" s="360"/>
      <c r="F52" s="361"/>
      <c r="G52" s="359">
        <f t="shared" si="9"/>
        <v>0</v>
      </c>
      <c r="H52" s="360"/>
      <c r="I52" s="360"/>
      <c r="J52" s="361"/>
      <c r="K52" s="362">
        <f t="shared" si="11"/>
        <v>0</v>
      </c>
      <c r="L52" s="363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85">
        <f t="shared" si="15"/>
        <v>0</v>
      </c>
      <c r="R52" s="286"/>
      <c r="S52" s="286"/>
      <c r="T52" s="286"/>
      <c r="U52" s="287"/>
      <c r="V52" s="37">
        <f t="shared" si="16"/>
        <v>0</v>
      </c>
      <c r="W52" s="288"/>
      <c r="X52" s="288"/>
      <c r="Y52" s="288"/>
      <c r="Z52" s="288"/>
      <c r="AA52" s="288"/>
      <c r="AB52" s="288"/>
      <c r="AC52" s="13"/>
    </row>
    <row r="53" spans="1:29" s="2" customFormat="1">
      <c r="A53" s="15">
        <f t="shared" si="8"/>
        <v>49</v>
      </c>
      <c r="B53" s="340">
        <f t="shared" si="10"/>
        <v>0</v>
      </c>
      <c r="C53" s="341"/>
      <c r="D53" s="341"/>
      <c r="E53" s="341"/>
      <c r="F53" s="342"/>
      <c r="G53" s="340">
        <f t="shared" si="9"/>
        <v>0</v>
      </c>
      <c r="H53" s="341"/>
      <c r="I53" s="341"/>
      <c r="J53" s="342"/>
      <c r="K53" s="364">
        <f t="shared" si="11"/>
        <v>0</v>
      </c>
      <c r="L53" s="365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05">
        <f t="shared" si="15"/>
        <v>0</v>
      </c>
      <c r="R53" s="306"/>
      <c r="S53" s="306"/>
      <c r="T53" s="306"/>
      <c r="U53" s="307"/>
      <c r="V53" s="41">
        <f t="shared" si="16"/>
        <v>0</v>
      </c>
      <c r="W53" s="310"/>
      <c r="X53" s="310"/>
      <c r="Y53" s="310"/>
      <c r="Z53" s="310"/>
      <c r="AA53" s="310"/>
      <c r="AB53" s="310"/>
      <c r="AC53" s="13"/>
    </row>
    <row r="54" spans="1:29" s="2" customFormat="1">
      <c r="A54" s="14">
        <f t="shared" si="8"/>
        <v>50</v>
      </c>
      <c r="B54" s="359">
        <f t="shared" si="10"/>
        <v>0</v>
      </c>
      <c r="C54" s="360"/>
      <c r="D54" s="360"/>
      <c r="E54" s="360"/>
      <c r="F54" s="361"/>
      <c r="G54" s="359">
        <f t="shared" si="9"/>
        <v>0</v>
      </c>
      <c r="H54" s="360"/>
      <c r="I54" s="360"/>
      <c r="J54" s="361"/>
      <c r="K54" s="362">
        <f t="shared" si="11"/>
        <v>0</v>
      </c>
      <c r="L54" s="363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85">
        <f t="shared" si="15"/>
        <v>0</v>
      </c>
      <c r="R54" s="286"/>
      <c r="S54" s="286"/>
      <c r="T54" s="286"/>
      <c r="U54" s="287"/>
      <c r="V54" s="37">
        <f t="shared" si="16"/>
        <v>0</v>
      </c>
      <c r="W54" s="288"/>
      <c r="X54" s="288"/>
      <c r="Y54" s="288"/>
      <c r="Z54" s="288"/>
      <c r="AA54" s="288"/>
      <c r="AB54" s="288"/>
      <c r="AC54" s="13"/>
    </row>
    <row r="55" spans="1:29">
      <c r="A55" s="4">
        <f t="shared" si="8"/>
        <v>51</v>
      </c>
      <c r="B55" s="340">
        <f t="shared" si="10"/>
        <v>0</v>
      </c>
      <c r="C55" s="341"/>
      <c r="D55" s="341"/>
      <c r="E55" s="341"/>
      <c r="F55" s="342"/>
      <c r="G55" s="340">
        <f t="shared" si="9"/>
        <v>0</v>
      </c>
      <c r="H55" s="341"/>
      <c r="I55" s="341"/>
      <c r="J55" s="342"/>
      <c r="K55" s="364">
        <f t="shared" si="11"/>
        <v>0</v>
      </c>
      <c r="L55" s="365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05">
        <f t="shared" si="15"/>
        <v>0</v>
      </c>
      <c r="R55" s="306"/>
      <c r="S55" s="306"/>
      <c r="T55" s="306"/>
      <c r="U55" s="307"/>
      <c r="V55" s="41">
        <f t="shared" si="16"/>
        <v>0</v>
      </c>
      <c r="W55" s="310"/>
      <c r="X55" s="310"/>
      <c r="Y55" s="310"/>
      <c r="Z55" s="310"/>
      <c r="AA55" s="310"/>
      <c r="AB55" s="310"/>
    </row>
    <row r="56" spans="1:29">
      <c r="A56" s="8">
        <f t="shared" si="8"/>
        <v>52</v>
      </c>
      <c r="B56" s="359">
        <f t="shared" si="10"/>
        <v>0</v>
      </c>
      <c r="C56" s="360"/>
      <c r="D56" s="360"/>
      <c r="E56" s="360"/>
      <c r="F56" s="361"/>
      <c r="G56" s="359">
        <f t="shared" si="9"/>
        <v>0</v>
      </c>
      <c r="H56" s="360"/>
      <c r="I56" s="360"/>
      <c r="J56" s="361"/>
      <c r="K56" s="362">
        <f t="shared" si="11"/>
        <v>0</v>
      </c>
      <c r="L56" s="363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85">
        <f t="shared" si="15"/>
        <v>0</v>
      </c>
      <c r="R56" s="286"/>
      <c r="S56" s="286"/>
      <c r="T56" s="286"/>
      <c r="U56" s="287"/>
      <c r="V56" s="37">
        <f t="shared" si="16"/>
        <v>0</v>
      </c>
      <c r="W56" s="288"/>
      <c r="X56" s="288"/>
      <c r="Y56" s="288"/>
      <c r="Z56" s="288"/>
      <c r="AA56" s="288"/>
      <c r="AB56" s="288"/>
    </row>
    <row r="57" spans="1:29" s="2" customFormat="1">
      <c r="A57" s="15">
        <f t="shared" si="8"/>
        <v>53</v>
      </c>
      <c r="B57" s="340">
        <f t="shared" si="10"/>
        <v>0</v>
      </c>
      <c r="C57" s="341"/>
      <c r="D57" s="341"/>
      <c r="E57" s="341"/>
      <c r="F57" s="342"/>
      <c r="G57" s="340">
        <f t="shared" si="9"/>
        <v>0</v>
      </c>
      <c r="H57" s="341"/>
      <c r="I57" s="341"/>
      <c r="J57" s="342"/>
      <c r="K57" s="364">
        <f t="shared" si="11"/>
        <v>0</v>
      </c>
      <c r="L57" s="365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05">
        <f t="shared" si="15"/>
        <v>0</v>
      </c>
      <c r="R57" s="306"/>
      <c r="S57" s="306"/>
      <c r="T57" s="306"/>
      <c r="U57" s="307"/>
      <c r="V57" s="41">
        <f t="shared" si="16"/>
        <v>0</v>
      </c>
      <c r="W57" s="310"/>
      <c r="X57" s="310"/>
      <c r="Y57" s="310"/>
      <c r="Z57" s="310"/>
      <c r="AA57" s="310"/>
      <c r="AB57" s="310"/>
      <c r="AC57" s="13"/>
    </row>
    <row r="58" spans="1:29" s="2" customFormat="1">
      <c r="A58" s="14">
        <f t="shared" si="8"/>
        <v>54</v>
      </c>
      <c r="B58" s="359">
        <f t="shared" si="10"/>
        <v>0</v>
      </c>
      <c r="C58" s="360"/>
      <c r="D58" s="360"/>
      <c r="E58" s="360"/>
      <c r="F58" s="361"/>
      <c r="G58" s="359">
        <f t="shared" si="9"/>
        <v>0</v>
      </c>
      <c r="H58" s="360"/>
      <c r="I58" s="360"/>
      <c r="J58" s="361"/>
      <c r="K58" s="362">
        <f t="shared" si="11"/>
        <v>0</v>
      </c>
      <c r="L58" s="363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85">
        <f t="shared" si="15"/>
        <v>0</v>
      </c>
      <c r="R58" s="286"/>
      <c r="S58" s="286"/>
      <c r="T58" s="286"/>
      <c r="U58" s="287"/>
      <c r="V58" s="37">
        <f t="shared" si="16"/>
        <v>0</v>
      </c>
      <c r="W58" s="288"/>
      <c r="X58" s="288"/>
      <c r="Y58" s="288"/>
      <c r="Z58" s="288"/>
      <c r="AA58" s="288"/>
      <c r="AB58" s="288"/>
      <c r="AC58" s="13"/>
    </row>
    <row r="59" spans="1:29" s="2" customFormat="1">
      <c r="A59" s="15">
        <f t="shared" si="8"/>
        <v>55</v>
      </c>
      <c r="B59" s="340">
        <f t="shared" si="10"/>
        <v>0</v>
      </c>
      <c r="C59" s="341"/>
      <c r="D59" s="341"/>
      <c r="E59" s="341"/>
      <c r="F59" s="342"/>
      <c r="G59" s="340">
        <f t="shared" si="9"/>
        <v>0</v>
      </c>
      <c r="H59" s="341"/>
      <c r="I59" s="341"/>
      <c r="J59" s="342"/>
      <c r="K59" s="364">
        <f t="shared" si="11"/>
        <v>0</v>
      </c>
      <c r="L59" s="365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05">
        <f t="shared" si="15"/>
        <v>0</v>
      </c>
      <c r="R59" s="306"/>
      <c r="S59" s="306"/>
      <c r="T59" s="306"/>
      <c r="U59" s="307"/>
      <c r="V59" s="41">
        <f t="shared" si="16"/>
        <v>0</v>
      </c>
      <c r="W59" s="310"/>
      <c r="X59" s="310"/>
      <c r="Y59" s="310"/>
      <c r="Z59" s="310"/>
      <c r="AA59" s="310"/>
      <c r="AB59" s="310"/>
      <c r="AC59" s="13"/>
    </row>
    <row r="60" spans="1:29" s="2" customFormat="1">
      <c r="A60" s="14">
        <f t="shared" si="8"/>
        <v>56</v>
      </c>
      <c r="B60" s="359">
        <f t="shared" si="10"/>
        <v>0</v>
      </c>
      <c r="C60" s="360"/>
      <c r="D60" s="360"/>
      <c r="E60" s="360"/>
      <c r="F60" s="361"/>
      <c r="G60" s="359">
        <f t="shared" si="9"/>
        <v>0</v>
      </c>
      <c r="H60" s="360"/>
      <c r="I60" s="360"/>
      <c r="J60" s="361"/>
      <c r="K60" s="362">
        <f t="shared" si="11"/>
        <v>0</v>
      </c>
      <c r="L60" s="363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85">
        <f t="shared" si="15"/>
        <v>0</v>
      </c>
      <c r="R60" s="286"/>
      <c r="S60" s="286"/>
      <c r="T60" s="286"/>
      <c r="U60" s="287"/>
      <c r="V60" s="37">
        <f t="shared" si="16"/>
        <v>0</v>
      </c>
      <c r="W60" s="288"/>
      <c r="X60" s="288"/>
      <c r="Y60" s="288"/>
      <c r="Z60" s="288"/>
      <c r="AA60" s="288"/>
      <c r="AB60" s="288"/>
      <c r="AC60" s="13"/>
    </row>
    <row r="61" spans="1:29" s="2" customFormat="1">
      <c r="A61" s="15">
        <f t="shared" si="8"/>
        <v>57</v>
      </c>
      <c r="B61" s="340">
        <f t="shared" si="10"/>
        <v>0</v>
      </c>
      <c r="C61" s="341"/>
      <c r="D61" s="341"/>
      <c r="E61" s="341"/>
      <c r="F61" s="342"/>
      <c r="G61" s="340">
        <f t="shared" si="9"/>
        <v>0</v>
      </c>
      <c r="H61" s="341"/>
      <c r="I61" s="341"/>
      <c r="J61" s="342"/>
      <c r="K61" s="364">
        <f t="shared" si="11"/>
        <v>0</v>
      </c>
      <c r="L61" s="365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05">
        <f t="shared" si="15"/>
        <v>0</v>
      </c>
      <c r="R61" s="306"/>
      <c r="S61" s="306"/>
      <c r="T61" s="306"/>
      <c r="U61" s="307"/>
      <c r="V61" s="41">
        <f t="shared" si="16"/>
        <v>0</v>
      </c>
      <c r="W61" s="310"/>
      <c r="X61" s="310"/>
      <c r="Y61" s="310"/>
      <c r="Z61" s="310"/>
      <c r="AA61" s="310"/>
      <c r="AB61" s="310"/>
      <c r="AC61" s="13"/>
    </row>
    <row r="62" spans="1:29" s="2" customFormat="1">
      <c r="A62" s="14">
        <f t="shared" si="8"/>
        <v>58</v>
      </c>
      <c r="B62" s="359">
        <f t="shared" si="10"/>
        <v>0</v>
      </c>
      <c r="C62" s="360"/>
      <c r="D62" s="360"/>
      <c r="E62" s="360"/>
      <c r="F62" s="361"/>
      <c r="G62" s="359">
        <f t="shared" si="9"/>
        <v>0</v>
      </c>
      <c r="H62" s="360"/>
      <c r="I62" s="360"/>
      <c r="J62" s="361"/>
      <c r="K62" s="362">
        <f t="shared" si="11"/>
        <v>0</v>
      </c>
      <c r="L62" s="363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85">
        <f t="shared" si="15"/>
        <v>0</v>
      </c>
      <c r="R62" s="286"/>
      <c r="S62" s="286"/>
      <c r="T62" s="286"/>
      <c r="U62" s="287"/>
      <c r="V62" s="37">
        <f t="shared" si="16"/>
        <v>0</v>
      </c>
      <c r="W62" s="288"/>
      <c r="X62" s="288"/>
      <c r="Y62" s="288"/>
      <c r="Z62" s="288"/>
      <c r="AA62" s="288"/>
      <c r="AB62" s="288"/>
      <c r="AC62" s="13"/>
    </row>
    <row r="63" spans="1:29">
      <c r="A63" s="4">
        <f t="shared" si="8"/>
        <v>59</v>
      </c>
      <c r="B63" s="340">
        <f t="shared" si="10"/>
        <v>0</v>
      </c>
      <c r="C63" s="341"/>
      <c r="D63" s="341"/>
      <c r="E63" s="341"/>
      <c r="F63" s="342"/>
      <c r="G63" s="340">
        <f t="shared" si="9"/>
        <v>0</v>
      </c>
      <c r="H63" s="341"/>
      <c r="I63" s="341"/>
      <c r="J63" s="342"/>
      <c r="K63" s="364">
        <f t="shared" si="11"/>
        <v>0</v>
      </c>
      <c r="L63" s="365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05">
        <f t="shared" si="15"/>
        <v>0</v>
      </c>
      <c r="R63" s="306"/>
      <c r="S63" s="306"/>
      <c r="T63" s="306"/>
      <c r="U63" s="307"/>
      <c r="V63" s="41">
        <f t="shared" si="16"/>
        <v>0</v>
      </c>
      <c r="W63" s="310"/>
      <c r="X63" s="310"/>
      <c r="Y63" s="310"/>
      <c r="Z63" s="310"/>
      <c r="AA63" s="310"/>
      <c r="AB63" s="310"/>
    </row>
    <row r="64" spans="1:29">
      <c r="A64" s="8">
        <f t="shared" si="8"/>
        <v>60</v>
      </c>
      <c r="B64" s="359">
        <f t="shared" si="10"/>
        <v>0</v>
      </c>
      <c r="C64" s="360"/>
      <c r="D64" s="360"/>
      <c r="E64" s="360"/>
      <c r="F64" s="361"/>
      <c r="G64" s="359">
        <f t="shared" si="9"/>
        <v>0</v>
      </c>
      <c r="H64" s="360"/>
      <c r="I64" s="360"/>
      <c r="J64" s="361"/>
      <c r="K64" s="362">
        <f t="shared" si="11"/>
        <v>0</v>
      </c>
      <c r="L64" s="363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85">
        <f t="shared" si="15"/>
        <v>0</v>
      </c>
      <c r="R64" s="286"/>
      <c r="S64" s="286"/>
      <c r="T64" s="286"/>
      <c r="U64" s="287"/>
      <c r="V64" s="37">
        <f t="shared" si="16"/>
        <v>0</v>
      </c>
      <c r="W64" s="288"/>
      <c r="X64" s="288"/>
      <c r="Y64" s="288"/>
      <c r="Z64" s="288"/>
      <c r="AA64" s="288"/>
      <c r="AB64" s="288"/>
    </row>
    <row r="65" spans="1:29">
      <c r="A65" s="15">
        <f t="shared" si="8"/>
        <v>61</v>
      </c>
      <c r="B65" s="340">
        <f t="shared" si="10"/>
        <v>0</v>
      </c>
      <c r="C65" s="341"/>
      <c r="D65" s="341"/>
      <c r="E65" s="341"/>
      <c r="F65" s="342"/>
      <c r="G65" s="340">
        <f t="shared" si="9"/>
        <v>0</v>
      </c>
      <c r="H65" s="341"/>
      <c r="I65" s="341"/>
      <c r="J65" s="342"/>
      <c r="K65" s="364">
        <f t="shared" si="11"/>
        <v>0</v>
      </c>
      <c r="L65" s="365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05">
        <f t="shared" si="15"/>
        <v>0</v>
      </c>
      <c r="R65" s="306"/>
      <c r="S65" s="306"/>
      <c r="T65" s="306"/>
      <c r="U65" s="307"/>
      <c r="V65" s="41">
        <f t="shared" si="16"/>
        <v>0</v>
      </c>
      <c r="W65" s="310"/>
      <c r="X65" s="310"/>
      <c r="Y65" s="310"/>
      <c r="Z65" s="310"/>
      <c r="AA65" s="310"/>
      <c r="AB65" s="310"/>
    </row>
    <row r="66" spans="1:29" s="2" customFormat="1">
      <c r="A66" s="14">
        <f t="shared" si="8"/>
        <v>62</v>
      </c>
      <c r="B66" s="359">
        <f t="shared" si="10"/>
        <v>0</v>
      </c>
      <c r="C66" s="360"/>
      <c r="D66" s="360"/>
      <c r="E66" s="360"/>
      <c r="F66" s="361"/>
      <c r="G66" s="359">
        <f t="shared" si="9"/>
        <v>0</v>
      </c>
      <c r="H66" s="360"/>
      <c r="I66" s="360"/>
      <c r="J66" s="361"/>
      <c r="K66" s="362">
        <f t="shared" si="11"/>
        <v>0</v>
      </c>
      <c r="L66" s="363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85">
        <f t="shared" si="15"/>
        <v>0</v>
      </c>
      <c r="R66" s="286"/>
      <c r="S66" s="286"/>
      <c r="T66" s="286"/>
      <c r="U66" s="287"/>
      <c r="V66" s="37">
        <f t="shared" si="16"/>
        <v>0</v>
      </c>
      <c r="W66" s="288"/>
      <c r="X66" s="288"/>
      <c r="Y66" s="288"/>
      <c r="Z66" s="288"/>
      <c r="AA66" s="288"/>
      <c r="AB66" s="288"/>
      <c r="AC66" s="13"/>
    </row>
    <row r="67" spans="1:29" s="2" customFormat="1">
      <c r="A67" s="15">
        <f t="shared" si="8"/>
        <v>63</v>
      </c>
      <c r="B67" s="340">
        <f t="shared" si="10"/>
        <v>0</v>
      </c>
      <c r="C67" s="341"/>
      <c r="D67" s="341"/>
      <c r="E67" s="341"/>
      <c r="F67" s="342"/>
      <c r="G67" s="340">
        <f t="shared" si="9"/>
        <v>0</v>
      </c>
      <c r="H67" s="341"/>
      <c r="I67" s="341"/>
      <c r="J67" s="342"/>
      <c r="K67" s="364">
        <f t="shared" si="11"/>
        <v>0</v>
      </c>
      <c r="L67" s="365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05">
        <f t="shared" si="15"/>
        <v>0</v>
      </c>
      <c r="R67" s="306"/>
      <c r="S67" s="306"/>
      <c r="T67" s="306"/>
      <c r="U67" s="307"/>
      <c r="V67" s="41">
        <f t="shared" si="16"/>
        <v>0</v>
      </c>
      <c r="W67" s="310"/>
      <c r="X67" s="310"/>
      <c r="Y67" s="310"/>
      <c r="Z67" s="310"/>
      <c r="AA67" s="310"/>
      <c r="AB67" s="310"/>
      <c r="AC67" s="13"/>
    </row>
    <row r="68" spans="1:29" s="2" customFormat="1">
      <c r="A68" s="14">
        <f t="shared" si="8"/>
        <v>64</v>
      </c>
      <c r="B68" s="359">
        <f t="shared" si="10"/>
        <v>0</v>
      </c>
      <c r="C68" s="360"/>
      <c r="D68" s="360"/>
      <c r="E68" s="360"/>
      <c r="F68" s="361"/>
      <c r="G68" s="359">
        <f t="shared" si="9"/>
        <v>0</v>
      </c>
      <c r="H68" s="360"/>
      <c r="I68" s="360"/>
      <c r="J68" s="361"/>
      <c r="K68" s="362">
        <f t="shared" si="11"/>
        <v>0</v>
      </c>
      <c r="L68" s="363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85">
        <f t="shared" si="15"/>
        <v>0</v>
      </c>
      <c r="R68" s="286"/>
      <c r="S68" s="286"/>
      <c r="T68" s="286"/>
      <c r="U68" s="287"/>
      <c r="V68" s="37">
        <f t="shared" si="16"/>
        <v>0</v>
      </c>
      <c r="W68" s="288"/>
      <c r="X68" s="288"/>
      <c r="Y68" s="288"/>
      <c r="Z68" s="288"/>
      <c r="AA68" s="288"/>
      <c r="AB68" s="288"/>
      <c r="AC68" s="13"/>
    </row>
    <row r="69" spans="1:29" s="2" customFormat="1">
      <c r="A69" s="15">
        <f t="shared" si="8"/>
        <v>65</v>
      </c>
      <c r="B69" s="340">
        <f t="shared" ref="B69:B81" si="17">AC69</f>
        <v>0</v>
      </c>
      <c r="C69" s="341"/>
      <c r="D69" s="341"/>
      <c r="E69" s="341"/>
      <c r="F69" s="342"/>
      <c r="G69" s="340">
        <f t="shared" si="9"/>
        <v>0</v>
      </c>
      <c r="H69" s="341"/>
      <c r="I69" s="341"/>
      <c r="J69" s="342"/>
      <c r="K69" s="364">
        <f t="shared" ref="K69:K81" si="18">AE69</f>
        <v>0</v>
      </c>
      <c r="L69" s="365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05">
        <f t="shared" ref="Q69:Q81" si="22">AJ69</f>
        <v>0</v>
      </c>
      <c r="R69" s="306"/>
      <c r="S69" s="306"/>
      <c r="T69" s="306"/>
      <c r="U69" s="307"/>
      <c r="V69" s="41">
        <f t="shared" ref="V69:V81" si="23">AL69</f>
        <v>0</v>
      </c>
      <c r="W69" s="310"/>
      <c r="X69" s="310"/>
      <c r="Y69" s="310"/>
      <c r="Z69" s="310"/>
      <c r="AA69" s="310"/>
      <c r="AB69" s="310"/>
      <c r="AC69" s="13"/>
    </row>
    <row r="70" spans="1:29" s="2" customFormat="1">
      <c r="A70" s="14">
        <f t="shared" si="8"/>
        <v>66</v>
      </c>
      <c r="B70" s="359">
        <f t="shared" si="17"/>
        <v>0</v>
      </c>
      <c r="C70" s="360"/>
      <c r="D70" s="360"/>
      <c r="E70" s="360"/>
      <c r="F70" s="361"/>
      <c r="G70" s="359">
        <f t="shared" si="9"/>
        <v>0</v>
      </c>
      <c r="H70" s="360"/>
      <c r="I70" s="360"/>
      <c r="J70" s="361"/>
      <c r="K70" s="362">
        <f t="shared" si="18"/>
        <v>0</v>
      </c>
      <c r="L70" s="363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85">
        <f t="shared" si="22"/>
        <v>0</v>
      </c>
      <c r="R70" s="286"/>
      <c r="S70" s="286"/>
      <c r="T70" s="286"/>
      <c r="U70" s="287"/>
      <c r="V70" s="37">
        <f t="shared" si="23"/>
        <v>0</v>
      </c>
      <c r="W70" s="288"/>
      <c r="X70" s="288"/>
      <c r="Y70" s="288"/>
      <c r="Z70" s="288"/>
      <c r="AA70" s="288"/>
      <c r="AB70" s="288"/>
      <c r="AC70" s="13"/>
    </row>
    <row r="71" spans="1:29">
      <c r="A71" s="4">
        <f t="shared" ref="A71:A81" si="24">ROW()-4</f>
        <v>67</v>
      </c>
      <c r="B71" s="340">
        <f t="shared" si="17"/>
        <v>0</v>
      </c>
      <c r="C71" s="341"/>
      <c r="D71" s="341"/>
      <c r="E71" s="341"/>
      <c r="F71" s="342"/>
      <c r="G71" s="340">
        <f t="shared" si="9"/>
        <v>0</v>
      </c>
      <c r="H71" s="341"/>
      <c r="I71" s="341"/>
      <c r="J71" s="342"/>
      <c r="K71" s="364">
        <f t="shared" si="18"/>
        <v>0</v>
      </c>
      <c r="L71" s="365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05">
        <f t="shared" si="22"/>
        <v>0</v>
      </c>
      <c r="R71" s="306"/>
      <c r="S71" s="306"/>
      <c r="T71" s="306"/>
      <c r="U71" s="307"/>
      <c r="V71" s="41">
        <f t="shared" si="23"/>
        <v>0</v>
      </c>
      <c r="W71" s="310"/>
      <c r="X71" s="310"/>
      <c r="Y71" s="310"/>
      <c r="Z71" s="310"/>
      <c r="AA71" s="310"/>
      <c r="AB71" s="310"/>
    </row>
    <row r="72" spans="1:29">
      <c r="A72" s="8">
        <f t="shared" si="24"/>
        <v>68</v>
      </c>
      <c r="B72" s="359">
        <f t="shared" si="17"/>
        <v>0</v>
      </c>
      <c r="C72" s="360"/>
      <c r="D72" s="360"/>
      <c r="E72" s="360"/>
      <c r="F72" s="361"/>
      <c r="G72" s="359">
        <f t="shared" si="9"/>
        <v>0</v>
      </c>
      <c r="H72" s="360"/>
      <c r="I72" s="360"/>
      <c r="J72" s="361"/>
      <c r="K72" s="362">
        <f t="shared" si="18"/>
        <v>0</v>
      </c>
      <c r="L72" s="363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85">
        <f t="shared" si="22"/>
        <v>0</v>
      </c>
      <c r="R72" s="286"/>
      <c r="S72" s="286"/>
      <c r="T72" s="286"/>
      <c r="U72" s="287"/>
      <c r="V72" s="37">
        <f t="shared" si="23"/>
        <v>0</v>
      </c>
      <c r="W72" s="288"/>
      <c r="X72" s="288"/>
      <c r="Y72" s="288"/>
      <c r="Z72" s="288"/>
      <c r="AA72" s="288"/>
      <c r="AB72" s="288"/>
    </row>
    <row r="73" spans="1:29" s="2" customFormat="1">
      <c r="A73" s="15">
        <f t="shared" si="24"/>
        <v>69</v>
      </c>
      <c r="B73" s="340">
        <f t="shared" si="17"/>
        <v>0</v>
      </c>
      <c r="C73" s="341"/>
      <c r="D73" s="341"/>
      <c r="E73" s="341"/>
      <c r="F73" s="342"/>
      <c r="G73" s="340">
        <f t="shared" si="9"/>
        <v>0</v>
      </c>
      <c r="H73" s="341"/>
      <c r="I73" s="341"/>
      <c r="J73" s="342"/>
      <c r="K73" s="364">
        <f t="shared" si="18"/>
        <v>0</v>
      </c>
      <c r="L73" s="365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05">
        <f t="shared" si="22"/>
        <v>0</v>
      </c>
      <c r="R73" s="306"/>
      <c r="S73" s="306"/>
      <c r="T73" s="306"/>
      <c r="U73" s="307"/>
      <c r="V73" s="41">
        <f t="shared" si="23"/>
        <v>0</v>
      </c>
      <c r="W73" s="310"/>
      <c r="X73" s="310"/>
      <c r="Y73" s="310"/>
      <c r="Z73" s="310"/>
      <c r="AA73" s="310"/>
      <c r="AB73" s="310"/>
      <c r="AC73" s="13"/>
    </row>
    <row r="74" spans="1:29" s="2" customFormat="1">
      <c r="A74" s="14">
        <f t="shared" si="24"/>
        <v>70</v>
      </c>
      <c r="B74" s="359">
        <f t="shared" si="17"/>
        <v>0</v>
      </c>
      <c r="C74" s="360"/>
      <c r="D74" s="360"/>
      <c r="E74" s="360"/>
      <c r="F74" s="361"/>
      <c r="G74" s="359">
        <f t="shared" si="9"/>
        <v>0</v>
      </c>
      <c r="H74" s="360"/>
      <c r="I74" s="360"/>
      <c r="J74" s="361"/>
      <c r="K74" s="362">
        <f t="shared" si="18"/>
        <v>0</v>
      </c>
      <c r="L74" s="363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85">
        <f t="shared" si="22"/>
        <v>0</v>
      </c>
      <c r="R74" s="286"/>
      <c r="S74" s="286"/>
      <c r="T74" s="286"/>
      <c r="U74" s="287"/>
      <c r="V74" s="37">
        <f t="shared" si="23"/>
        <v>0</v>
      </c>
      <c r="W74" s="288"/>
      <c r="X74" s="288"/>
      <c r="Y74" s="288"/>
      <c r="Z74" s="288"/>
      <c r="AA74" s="288"/>
      <c r="AB74" s="288"/>
      <c r="AC74" s="13"/>
    </row>
    <row r="75" spans="1:29" s="2" customFormat="1">
      <c r="A75" s="15">
        <f t="shared" si="24"/>
        <v>71</v>
      </c>
      <c r="B75" s="340">
        <f t="shared" si="17"/>
        <v>0</v>
      </c>
      <c r="C75" s="341"/>
      <c r="D75" s="341"/>
      <c r="E75" s="341"/>
      <c r="F75" s="342"/>
      <c r="G75" s="340">
        <f t="shared" si="9"/>
        <v>0</v>
      </c>
      <c r="H75" s="341"/>
      <c r="I75" s="341"/>
      <c r="J75" s="342"/>
      <c r="K75" s="364">
        <f t="shared" si="18"/>
        <v>0</v>
      </c>
      <c r="L75" s="365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05">
        <f t="shared" si="22"/>
        <v>0</v>
      </c>
      <c r="R75" s="306"/>
      <c r="S75" s="306"/>
      <c r="T75" s="306"/>
      <c r="U75" s="307"/>
      <c r="V75" s="41">
        <f t="shared" si="23"/>
        <v>0</v>
      </c>
      <c r="W75" s="310"/>
      <c r="X75" s="310"/>
      <c r="Y75" s="310"/>
      <c r="Z75" s="310"/>
      <c r="AA75" s="310"/>
      <c r="AB75" s="310"/>
      <c r="AC75" s="13"/>
    </row>
    <row r="76" spans="1:29" s="2" customFormat="1">
      <c r="A76" s="14">
        <f t="shared" si="24"/>
        <v>72</v>
      </c>
      <c r="B76" s="359">
        <f t="shared" si="17"/>
        <v>0</v>
      </c>
      <c r="C76" s="360"/>
      <c r="D76" s="360"/>
      <c r="E76" s="360"/>
      <c r="F76" s="361"/>
      <c r="G76" s="359">
        <f t="shared" si="9"/>
        <v>0</v>
      </c>
      <c r="H76" s="360"/>
      <c r="I76" s="360"/>
      <c r="J76" s="361"/>
      <c r="K76" s="362">
        <f t="shared" si="18"/>
        <v>0</v>
      </c>
      <c r="L76" s="363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85">
        <f t="shared" si="22"/>
        <v>0</v>
      </c>
      <c r="R76" s="286"/>
      <c r="S76" s="286"/>
      <c r="T76" s="286"/>
      <c r="U76" s="287"/>
      <c r="V76" s="37">
        <f t="shared" si="23"/>
        <v>0</v>
      </c>
      <c r="W76" s="288"/>
      <c r="X76" s="288"/>
      <c r="Y76" s="288"/>
      <c r="Z76" s="288"/>
      <c r="AA76" s="288"/>
      <c r="AB76" s="288"/>
      <c r="AC76" s="13"/>
    </row>
    <row r="77" spans="1:29" s="2" customFormat="1">
      <c r="A77" s="15">
        <f t="shared" si="24"/>
        <v>73</v>
      </c>
      <c r="B77" s="340">
        <f t="shared" si="17"/>
        <v>0</v>
      </c>
      <c r="C77" s="341"/>
      <c r="D77" s="341"/>
      <c r="E77" s="341"/>
      <c r="F77" s="342"/>
      <c r="G77" s="340">
        <f t="shared" si="9"/>
        <v>0</v>
      </c>
      <c r="H77" s="341"/>
      <c r="I77" s="341"/>
      <c r="J77" s="342"/>
      <c r="K77" s="364">
        <f t="shared" si="18"/>
        <v>0</v>
      </c>
      <c r="L77" s="365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05">
        <f t="shared" si="22"/>
        <v>0</v>
      </c>
      <c r="R77" s="306"/>
      <c r="S77" s="306"/>
      <c r="T77" s="306"/>
      <c r="U77" s="307"/>
      <c r="V77" s="41">
        <f t="shared" si="23"/>
        <v>0</v>
      </c>
      <c r="W77" s="310"/>
      <c r="X77" s="310"/>
      <c r="Y77" s="310"/>
      <c r="Z77" s="310"/>
      <c r="AA77" s="310"/>
      <c r="AB77" s="310"/>
      <c r="AC77" s="13"/>
    </row>
    <row r="78" spans="1:29" s="2" customFormat="1">
      <c r="A78" s="14">
        <f t="shared" si="24"/>
        <v>74</v>
      </c>
      <c r="B78" s="359">
        <f t="shared" si="17"/>
        <v>0</v>
      </c>
      <c r="C78" s="360"/>
      <c r="D78" s="360"/>
      <c r="E78" s="360"/>
      <c r="F78" s="361"/>
      <c r="G78" s="359">
        <f t="shared" si="9"/>
        <v>0</v>
      </c>
      <c r="H78" s="360"/>
      <c r="I78" s="360"/>
      <c r="J78" s="361"/>
      <c r="K78" s="362">
        <f t="shared" si="18"/>
        <v>0</v>
      </c>
      <c r="L78" s="363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85">
        <f t="shared" si="22"/>
        <v>0</v>
      </c>
      <c r="R78" s="286"/>
      <c r="S78" s="286"/>
      <c r="T78" s="286"/>
      <c r="U78" s="287"/>
      <c r="V78" s="37">
        <f t="shared" si="23"/>
        <v>0</v>
      </c>
      <c r="W78" s="288"/>
      <c r="X78" s="288"/>
      <c r="Y78" s="288"/>
      <c r="Z78" s="288"/>
      <c r="AA78" s="288"/>
      <c r="AB78" s="288"/>
      <c r="AC78" s="13"/>
    </row>
    <row r="79" spans="1:29">
      <c r="A79" s="4">
        <f t="shared" si="24"/>
        <v>75</v>
      </c>
      <c r="B79" s="340">
        <f t="shared" si="17"/>
        <v>0</v>
      </c>
      <c r="C79" s="341"/>
      <c r="D79" s="341"/>
      <c r="E79" s="341"/>
      <c r="F79" s="342"/>
      <c r="G79" s="340">
        <f t="shared" si="9"/>
        <v>0</v>
      </c>
      <c r="H79" s="341"/>
      <c r="I79" s="341"/>
      <c r="J79" s="342"/>
      <c r="K79" s="364">
        <f t="shared" si="18"/>
        <v>0</v>
      </c>
      <c r="L79" s="365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05">
        <f t="shared" si="22"/>
        <v>0</v>
      </c>
      <c r="R79" s="306"/>
      <c r="S79" s="306"/>
      <c r="T79" s="306"/>
      <c r="U79" s="307"/>
      <c r="V79" s="41">
        <f t="shared" si="23"/>
        <v>0</v>
      </c>
      <c r="W79" s="310"/>
      <c r="X79" s="310"/>
      <c r="Y79" s="310"/>
      <c r="Z79" s="310"/>
      <c r="AA79" s="310"/>
      <c r="AB79" s="310"/>
    </row>
    <row r="80" spans="1:29">
      <c r="A80" s="8">
        <f t="shared" si="24"/>
        <v>76</v>
      </c>
      <c r="B80" s="359">
        <f t="shared" si="17"/>
        <v>0</v>
      </c>
      <c r="C80" s="360"/>
      <c r="D80" s="360"/>
      <c r="E80" s="360"/>
      <c r="F80" s="361"/>
      <c r="G80" s="359">
        <f t="shared" si="9"/>
        <v>0</v>
      </c>
      <c r="H80" s="360"/>
      <c r="I80" s="360"/>
      <c r="J80" s="361"/>
      <c r="K80" s="362">
        <f t="shared" si="18"/>
        <v>0</v>
      </c>
      <c r="L80" s="363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85">
        <f t="shared" si="22"/>
        <v>0</v>
      </c>
      <c r="R80" s="286"/>
      <c r="S80" s="286"/>
      <c r="T80" s="286"/>
      <c r="U80" s="287"/>
      <c r="V80" s="37">
        <f t="shared" si="23"/>
        <v>0</v>
      </c>
      <c r="W80" s="288"/>
      <c r="X80" s="288"/>
      <c r="Y80" s="288"/>
      <c r="Z80" s="288"/>
      <c r="AA80" s="288"/>
      <c r="AB80" s="288"/>
    </row>
    <row r="81" spans="1:28">
      <c r="A81" s="15">
        <f t="shared" si="24"/>
        <v>77</v>
      </c>
      <c r="B81" s="340">
        <f t="shared" si="17"/>
        <v>0</v>
      </c>
      <c r="C81" s="341"/>
      <c r="D81" s="341"/>
      <c r="E81" s="341"/>
      <c r="F81" s="342"/>
      <c r="G81" s="340">
        <f t="shared" si="9"/>
        <v>0</v>
      </c>
      <c r="H81" s="341"/>
      <c r="I81" s="341"/>
      <c r="J81" s="342"/>
      <c r="K81" s="364">
        <f t="shared" si="18"/>
        <v>0</v>
      </c>
      <c r="L81" s="365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05">
        <f t="shared" si="22"/>
        <v>0</v>
      </c>
      <c r="R81" s="306"/>
      <c r="S81" s="306"/>
      <c r="T81" s="306"/>
      <c r="U81" s="307"/>
      <c r="V81" s="41">
        <f t="shared" si="23"/>
        <v>0</v>
      </c>
      <c r="W81" s="310"/>
      <c r="X81" s="310"/>
      <c r="Y81" s="310"/>
      <c r="Z81" s="310"/>
      <c r="AA81" s="310"/>
      <c r="AB81" s="310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29</vt:i4>
      </vt:variant>
    </vt:vector>
  </HeadingPairs>
  <TitlesOfParts>
    <vt:vector size="46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法人経営立て直し資金試算</vt:lpstr>
      <vt:lpstr>法人役員退職慰労金</vt:lpstr>
      <vt:lpstr>法人キャッシュフロー改善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法人経営立て直し資金試算!Print_Area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法人経営立て直し資金試算!Print_Titles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2013-11-26T05:32:48Z</dcterms:modified>
</cp:coreProperties>
</file>